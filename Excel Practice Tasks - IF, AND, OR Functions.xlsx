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01033FA2-835E-4DEA-9900-BAF4BF0EB24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2" i="3"/>
  <c r="F3" i="2"/>
  <c r="F4" i="2"/>
  <c r="F5" i="2"/>
  <c r="F6" i="2"/>
  <c r="F2" i="2"/>
  <c r="E3" i="2"/>
  <c r="E4" i="2"/>
  <c r="E5" i="2"/>
  <c r="E6" i="2"/>
  <c r="E2" i="2"/>
  <c r="D5" i="2"/>
  <c r="D6" i="2"/>
  <c r="D3" i="2"/>
  <c r="D4" i="2"/>
  <c r="D2" i="2"/>
  <c r="D3" i="1"/>
  <c r="D5" i="1"/>
  <c r="D6" i="1"/>
  <c r="D7" i="1"/>
  <c r="C5" i="1"/>
  <c r="C6" i="1"/>
  <c r="C7" i="1"/>
  <c r="D4" i="1"/>
  <c r="D2" i="1"/>
  <c r="C2" i="1"/>
  <c r="C3" i="1"/>
  <c r="C4" i="1"/>
</calcChain>
</file>

<file path=xl/sharedStrings.xml><?xml version="1.0" encoding="utf-8"?>
<sst xmlns="http://schemas.openxmlformats.org/spreadsheetml/2006/main" count="35" uniqueCount="33">
  <si>
    <t>Student Name</t>
  </si>
  <si>
    <t>Marks</t>
  </si>
  <si>
    <t>Result</t>
  </si>
  <si>
    <t>Aman</t>
  </si>
  <si>
    <t>Riya</t>
  </si>
  <si>
    <t>Karan</t>
  </si>
  <si>
    <t>Division</t>
  </si>
  <si>
    <t>65+=</t>
  </si>
  <si>
    <t>55+=</t>
  </si>
  <si>
    <t>40+=</t>
  </si>
  <si>
    <t>raman</t>
  </si>
  <si>
    <t>priya</t>
  </si>
  <si>
    <t>ron</t>
  </si>
  <si>
    <t>Employee</t>
  </si>
  <si>
    <t>Attendance %</t>
  </si>
  <si>
    <t>Performance Score</t>
  </si>
  <si>
    <t>Bonus Eligible</t>
  </si>
  <si>
    <t>Rahul</t>
  </si>
  <si>
    <t>Neha</t>
  </si>
  <si>
    <t>Simran</t>
  </si>
  <si>
    <t>aman</t>
  </si>
  <si>
    <t>Raman</t>
  </si>
  <si>
    <t>Name</t>
  </si>
  <si>
    <t>Maths</t>
  </si>
  <si>
    <t>Science</t>
  </si>
  <si>
    <t>Selected</t>
  </si>
  <si>
    <t>Arjun</t>
  </si>
  <si>
    <t>Priya</t>
  </si>
  <si>
    <t>Vikas</t>
  </si>
  <si>
    <t>john</t>
  </si>
  <si>
    <t>Ron</t>
  </si>
  <si>
    <t>Maria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</si>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</sst>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3" xfId="0" applyBorder="1"/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5" fillId="0" borderId="3" xfId="0" applyFont="1" applyBorder="1"/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D4" sqref="D4"/>
    </sheetView>
  </sheetViews>
  <sheetFormatPr defaultRowHeight="15" x14ac:dyDescent="0.25"/>
  <cols>
    <col min="1" max="1" width="28.7109375" style="3" bestFit="1" customWidth="1"/>
    <col min="2" max="2" width="12.5703125" style="3" bestFit="1" customWidth="1"/>
    <col min="3" max="3" width="13.7109375" style="3" bestFit="1" customWidth="1"/>
    <col min="4" max="4" width="25.85546875" style="3" customWidth="1"/>
    <col min="5" max="16384" width="9.140625" style="3"/>
  </cols>
  <sheetData>
    <row r="1" spans="1:7" ht="18" x14ac:dyDescent="0.25">
      <c r="A1" s="4" t="s">
        <v>0</v>
      </c>
      <c r="B1" s="4" t="s">
        <v>1</v>
      </c>
      <c r="C1" s="4" t="s">
        <v>2</v>
      </c>
      <c r="D1" s="4" t="s">
        <v>6</v>
      </c>
    </row>
    <row r="2" spans="1:7" ht="18.75" x14ac:dyDescent="0.3">
      <c r="A2" s="5" t="s">
        <v>3</v>
      </c>
      <c r="B2" s="5">
        <v>78</v>
      </c>
      <c r="C2" s="5" t="str">
        <f>IF(B2&gt;39,"Pass","Fail")</f>
        <v>Pass</v>
      </c>
      <c r="D2" s="6" t="str">
        <f>IF(C2="Fail",C2,IF(B2&gt;64,"I st division",IF(B2&gt;54,"II nd Division","III rd Division")))</f>
        <v>I st division</v>
      </c>
      <c r="G2" s="3" t="s">
        <v>7</v>
      </c>
    </row>
    <row r="3" spans="1:7" ht="18.75" x14ac:dyDescent="0.3">
      <c r="A3" s="5" t="s">
        <v>4</v>
      </c>
      <c r="B3" s="5">
        <v>35</v>
      </c>
      <c r="C3" s="5" t="str">
        <f t="shared" ref="C3:C7" si="0">IF(B3&gt;39,"Pass","Fail")</f>
        <v>Fail</v>
      </c>
      <c r="D3" s="6" t="str">
        <f>IF(C3="Fail",C3,IF(B3&gt;64,"I st division",IF(B3&gt;54,"II nd Division","III rd Division")))</f>
        <v>Fail</v>
      </c>
      <c r="G3" s="3" t="s">
        <v>8</v>
      </c>
    </row>
    <row r="4" spans="1:7" ht="18.75" x14ac:dyDescent="0.3">
      <c r="A4" s="5" t="s">
        <v>5</v>
      </c>
      <c r="B4" s="5">
        <v>91</v>
      </c>
      <c r="C4" s="5" t="str">
        <f t="shared" si="0"/>
        <v>Pass</v>
      </c>
      <c r="D4" s="6" t="str">
        <f t="shared" ref="D3:D7" si="1">IF(C4="Fail",C4,IF(B4&gt;64,"I st division",IF(B4&gt;54,"II nd Division","III rd Division")))</f>
        <v>I st division</v>
      </c>
      <c r="G4" s="3" t="s">
        <v>9</v>
      </c>
    </row>
    <row r="5" spans="1:7" ht="18.75" x14ac:dyDescent="0.3">
      <c r="A5" s="5" t="s">
        <v>10</v>
      </c>
      <c r="B5" s="6">
        <v>45</v>
      </c>
      <c r="C5" s="5" t="str">
        <f>IF(B5&gt;39,"Pass","Fail")</f>
        <v>Pass</v>
      </c>
      <c r="D5" s="6" t="str">
        <f>IF(C5="Fail",C5,IF(B5&gt;64,"I st division",IF(B5&gt;54,"II nd Division","III rd Division")))</f>
        <v>III rd Division</v>
      </c>
    </row>
    <row r="6" spans="1:7" ht="18.75" x14ac:dyDescent="0.3">
      <c r="A6" s="5" t="s">
        <v>11</v>
      </c>
      <c r="B6" s="6">
        <v>63</v>
      </c>
      <c r="C6" s="5" t="str">
        <f t="shared" si="0"/>
        <v>Pass</v>
      </c>
      <c r="D6" s="6" t="str">
        <f t="shared" si="1"/>
        <v>II nd Division</v>
      </c>
    </row>
    <row r="7" spans="1:7" ht="18.75" x14ac:dyDescent="0.3">
      <c r="A7" s="5" t="s">
        <v>12</v>
      </c>
      <c r="B7" s="6">
        <v>55</v>
      </c>
      <c r="C7" s="5" t="str">
        <f t="shared" si="0"/>
        <v>Pass</v>
      </c>
      <c r="D7" s="6" t="str">
        <f t="shared" si="1"/>
        <v>II nd Division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C3B0-7348-4A8F-9C53-441CDD3988D2}">
  <dimension ref="A1:F6"/>
  <sheetViews>
    <sheetView tabSelected="1" workbookViewId="0">
      <selection activeCell="F14" sqref="F14"/>
    </sheetView>
  </sheetViews>
  <sheetFormatPr defaultRowHeight="15" x14ac:dyDescent="0.25"/>
  <cols>
    <col min="2" max="2" width="10.85546875" customWidth="1"/>
    <col min="3" max="3" width="16.140625" customWidth="1"/>
    <col min="4" max="4" width="25" customWidth="1"/>
    <col min="6" max="6" width="24" customWidth="1"/>
  </cols>
  <sheetData>
    <row r="1" spans="1:6" ht="38.25" x14ac:dyDescent="0.25">
      <c r="A1" s="1" t="s">
        <v>13</v>
      </c>
      <c r="B1" s="1" t="s">
        <v>14</v>
      </c>
      <c r="C1" s="1" t="s">
        <v>15</v>
      </c>
      <c r="D1" s="1" t="s">
        <v>16</v>
      </c>
    </row>
    <row r="2" spans="1:6" x14ac:dyDescent="0.25">
      <c r="A2" s="2" t="s">
        <v>17</v>
      </c>
      <c r="B2" s="2">
        <v>95</v>
      </c>
      <c r="C2" s="2">
        <v>88</v>
      </c>
      <c r="D2" s="2" t="str">
        <f>IF(B2&gt;90,IF(C2&gt;80,"Eligible","NotEligible"),"Not Eligible")</f>
        <v>Eligible</v>
      </c>
      <c r="E2" t="b">
        <f>AND(B2&gt;90,C2&gt;80)</f>
        <v>1</v>
      </c>
      <c r="F2" t="str">
        <f>IF(AND(C2&gt;80,B2&gt;90),"Eligible","Not Eligible")</f>
        <v>Eligible</v>
      </c>
    </row>
    <row r="3" spans="1:6" ht="25.5" x14ac:dyDescent="0.25">
      <c r="A3" s="2" t="s">
        <v>18</v>
      </c>
      <c r="B3" s="2">
        <v>82</v>
      </c>
      <c r="C3" s="2">
        <v>92</v>
      </c>
      <c r="D3" s="2" t="str">
        <f t="shared" ref="D3:D6" si="0">IF(B3&gt;90,IF(C3&gt;80,"Eligible","NotEligible"),"Not Eligible")</f>
        <v>Not Eligible</v>
      </c>
      <c r="E3" t="b">
        <f t="shared" ref="E3:E6" si="1">AND(B3&gt;90,C3&gt;80)</f>
        <v>0</v>
      </c>
      <c r="F3" t="str">
        <f t="shared" ref="F3:F6" si="2">IF(AND(C3&gt;80,B3&gt;90),"Eligible","Not Eligible")</f>
        <v>Not Eligible</v>
      </c>
    </row>
    <row r="4" spans="1:6" ht="25.5" x14ac:dyDescent="0.25">
      <c r="A4" s="2" t="s">
        <v>19</v>
      </c>
      <c r="B4" s="2">
        <v>91</v>
      </c>
      <c r="C4" s="2">
        <v>76</v>
      </c>
      <c r="D4" s="2" t="str">
        <f t="shared" si="0"/>
        <v>NotEligible</v>
      </c>
      <c r="E4" t="b">
        <f t="shared" si="1"/>
        <v>0</v>
      </c>
      <c r="F4" t="str">
        <f t="shared" si="2"/>
        <v>Not Eligible</v>
      </c>
    </row>
    <row r="5" spans="1:6" ht="25.5" x14ac:dyDescent="0.25">
      <c r="A5" s="7" t="s">
        <v>20</v>
      </c>
      <c r="B5" s="7">
        <v>95</v>
      </c>
      <c r="C5" s="7">
        <v>85</v>
      </c>
      <c r="D5" s="2" t="str">
        <f t="shared" si="0"/>
        <v>Eligible</v>
      </c>
      <c r="E5" t="b">
        <f t="shared" si="1"/>
        <v>1</v>
      </c>
      <c r="F5" t="str">
        <f t="shared" si="2"/>
        <v>Eligible</v>
      </c>
    </row>
    <row r="6" spans="1:6" ht="25.5" x14ac:dyDescent="0.25">
      <c r="A6" s="7" t="s">
        <v>21</v>
      </c>
      <c r="B6" s="7">
        <v>96</v>
      </c>
      <c r="C6" s="7">
        <v>81</v>
      </c>
      <c r="D6" s="2" t="str">
        <f t="shared" si="0"/>
        <v>Eligible</v>
      </c>
      <c r="E6" t="b">
        <f t="shared" si="1"/>
        <v>1</v>
      </c>
      <c r="F6" t="str">
        <f t="shared" si="2"/>
        <v>Eligible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8E7A-475F-48F9-BB99-F18F61BE0E57}">
  <dimension ref="A1:D10"/>
  <sheetViews>
    <sheetView workbookViewId="0">
      <selection activeCell="H11" sqref="H11"/>
    </sheetView>
  </sheetViews>
  <sheetFormatPr defaultRowHeight="15" x14ac:dyDescent="0.25"/>
  <sheetData>
    <row r="1" spans="1:4" x14ac:dyDescent="0.25">
      <c r="A1" s="1" t="s">
        <v>22</v>
      </c>
      <c r="B1" s="1" t="s">
        <v>23</v>
      </c>
      <c r="C1" s="1" t="s">
        <v>24</v>
      </c>
      <c r="D1" s="1" t="s">
        <v>25</v>
      </c>
    </row>
    <row r="2" spans="1:4" x14ac:dyDescent="0.25">
      <c r="A2" s="2" t="s">
        <v>26</v>
      </c>
      <c r="B2" s="2">
        <v>85</v>
      </c>
      <c r="C2" s="2">
        <v>45</v>
      </c>
      <c r="D2" s="2" t="str">
        <f>IF(OR(B2&gt;70,C2&gt;70),"Selected","Not Selected")</f>
        <v>Selected</v>
      </c>
    </row>
    <row r="3" spans="1:4" x14ac:dyDescent="0.25">
      <c r="A3" s="2" t="s">
        <v>27</v>
      </c>
      <c r="B3" s="2">
        <v>60</v>
      </c>
      <c r="C3" s="2">
        <v>72</v>
      </c>
      <c r="D3" s="2" t="str">
        <f t="shared" ref="D3:D10" si="0">IF(OR(B3&gt;70,C3&gt;70),"Selected","Not Selected")</f>
        <v>Selected</v>
      </c>
    </row>
    <row r="4" spans="1:4" x14ac:dyDescent="0.25">
      <c r="A4" s="2" t="s">
        <v>28</v>
      </c>
      <c r="B4" s="2">
        <v>82</v>
      </c>
      <c r="C4" s="2">
        <v>90</v>
      </c>
      <c r="D4" s="2" t="str">
        <f t="shared" si="0"/>
        <v>Selected</v>
      </c>
    </row>
    <row r="5" spans="1:4" x14ac:dyDescent="0.25">
      <c r="A5" s="7" t="s">
        <v>3</v>
      </c>
      <c r="B5" s="7">
        <v>65</v>
      </c>
      <c r="C5" s="7">
        <v>85</v>
      </c>
      <c r="D5" s="2" t="str">
        <f t="shared" si="0"/>
        <v>Selected</v>
      </c>
    </row>
    <row r="6" spans="1:4" ht="25.5" x14ac:dyDescent="0.25">
      <c r="A6" s="7" t="s">
        <v>21</v>
      </c>
      <c r="B6" s="7">
        <v>45</v>
      </c>
      <c r="C6" s="7">
        <v>25</v>
      </c>
      <c r="D6" s="2" t="str">
        <f t="shared" si="0"/>
        <v>Not Selected</v>
      </c>
    </row>
    <row r="7" spans="1:4" x14ac:dyDescent="0.25">
      <c r="A7" s="7" t="s">
        <v>32</v>
      </c>
      <c r="B7" s="7">
        <v>45</v>
      </c>
      <c r="C7" s="7">
        <v>95</v>
      </c>
      <c r="D7" s="2" t="str">
        <f t="shared" si="0"/>
        <v>Selected</v>
      </c>
    </row>
    <row r="8" spans="1:4" ht="25.5" x14ac:dyDescent="0.25">
      <c r="A8" s="8" t="s">
        <v>29</v>
      </c>
      <c r="B8" s="8">
        <v>45</v>
      </c>
      <c r="C8" s="9">
        <v>85</v>
      </c>
      <c r="D8" s="2" t="str">
        <f t="shared" si="0"/>
        <v>Selected</v>
      </c>
    </row>
    <row r="9" spans="1:4" ht="25.5" x14ac:dyDescent="0.25">
      <c r="A9" s="8" t="s">
        <v>30</v>
      </c>
      <c r="B9" s="8">
        <v>47</v>
      </c>
      <c r="C9" s="9">
        <v>25</v>
      </c>
      <c r="D9" s="2" t="str">
        <f t="shared" si="0"/>
        <v>Not Selected</v>
      </c>
    </row>
    <row r="10" spans="1:4" ht="25.5" x14ac:dyDescent="0.25">
      <c r="A10" s="8" t="s">
        <v>31</v>
      </c>
      <c r="B10" s="8">
        <v>32</v>
      </c>
      <c r="C10" s="9">
        <v>74</v>
      </c>
      <c r="D10" s="2" t="str">
        <f t="shared" si="0"/>
        <v>Selected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>Shalini Rathore</cp:lastModifiedBy>
  <dcterms:created xsi:type="dcterms:W3CDTF">2015-06-05T18:17:20Z</dcterms:created>
  <dcterms:modified xsi:type="dcterms:W3CDTF">2026-09-21T05:43:52Z</dcterms:modified>
</cp:coreProperties>
</file>