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notes\excel\"/>
    </mc:Choice>
  </mc:AlternateContent>
  <xr:revisionPtr revIDLastSave="0" documentId="13_ncr:1_{C166777C-145F-42CD-A673-20FD36365DC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Table 1" sheetId="4" r:id="rId1"/>
    <sheet name="users" sheetId="3" r:id="rId2"/>
    <sheet name="Employee Data" sheetId="1" r:id="rId3"/>
    <sheet name="Sheet1" sheetId="2" r:id="rId4"/>
  </sheets>
  <definedNames>
    <definedName name="branchname">'Employee Data'!$B$1</definedName>
    <definedName name="ExternalData_1" localSheetId="0" hidden="1">'Table 1'!$A$1:$G$189</definedName>
    <definedName name="ifsccode">'Employee Data'!$B$2</definedName>
    <definedName name="Salarylist">'Employee Data'!$J$4:$J$14</definedName>
  </definedNames>
  <calcPr calcId="191029" calcMode="autoNoTable"/>
</workbook>
</file>

<file path=xl/calcChain.xml><?xml version="1.0" encoding="utf-8"?>
<calcChain xmlns="http://schemas.openxmlformats.org/spreadsheetml/2006/main">
  <c r="G18" i="1" l="1"/>
  <c r="G17" i="1"/>
  <c r="D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6CF910-9756-4010-8327-7E24051B65E5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sharedStrings.xml><?xml version="1.0" encoding="utf-8"?>
<sst xmlns="http://schemas.openxmlformats.org/spreadsheetml/2006/main" count="1269" uniqueCount="629">
  <si>
    <t>EmployeeID</t>
  </si>
  <si>
    <t>Name</t>
  </si>
  <si>
    <t>Department</t>
  </si>
  <si>
    <t>Designation</t>
  </si>
  <si>
    <t>Gender</t>
  </si>
  <si>
    <t>City</t>
  </si>
  <si>
    <t>JoiningDate</t>
  </si>
  <si>
    <t>Salary</t>
  </si>
  <si>
    <t>Bonus</t>
  </si>
  <si>
    <t>Experience_Years</t>
  </si>
  <si>
    <t>Status</t>
  </si>
  <si>
    <t>Email</t>
  </si>
  <si>
    <t>Phone</t>
  </si>
  <si>
    <t>Project</t>
  </si>
  <si>
    <t>Manager</t>
  </si>
  <si>
    <t>Last_Promotion_Date</t>
  </si>
  <si>
    <t>Leave_Days</t>
  </si>
  <si>
    <t>Working_Hours</t>
  </si>
  <si>
    <t>Remarks</t>
  </si>
  <si>
    <t>Amit Sharma</t>
  </si>
  <si>
    <t>IT</t>
  </si>
  <si>
    <t>Developer</t>
  </si>
  <si>
    <t>Male</t>
  </si>
  <si>
    <t>Delhi</t>
  </si>
  <si>
    <t>2021-04-15</t>
  </si>
  <si>
    <t>Active</t>
  </si>
  <si>
    <t>amit@company.com</t>
  </si>
  <si>
    <t>ERP</t>
  </si>
  <si>
    <t>Rohit</t>
  </si>
  <si>
    <t>2023-06-10</t>
  </si>
  <si>
    <t>Good performer</t>
  </si>
  <si>
    <t>Neha Verma</t>
  </si>
  <si>
    <t>HR</t>
  </si>
  <si>
    <t>HR Executive</t>
  </si>
  <si>
    <t>Female</t>
  </si>
  <si>
    <t>Mumbai</t>
  </si>
  <si>
    <t>2020-01-20</t>
  </si>
  <si>
    <t>neha@company.com</t>
  </si>
  <si>
    <t>9876543211</t>
  </si>
  <si>
    <t>Recruitment</t>
  </si>
  <si>
    <t>Anjali</t>
  </si>
  <si>
    <t>2022-03-15</t>
  </si>
  <si>
    <t>Consistent</t>
  </si>
  <si>
    <t>Rahul Mehta</t>
  </si>
  <si>
    <t>Finance</t>
  </si>
  <si>
    <t>Accountant</t>
  </si>
  <si>
    <t>Pune</t>
  </si>
  <si>
    <t>2019-07-10</t>
  </si>
  <si>
    <t>rahul@company.com</t>
  </si>
  <si>
    <t>9876543212</t>
  </si>
  <si>
    <t>Audit</t>
  </si>
  <si>
    <t>Suresh</t>
  </si>
  <si>
    <t>2024-01-05</t>
  </si>
  <si>
    <t>Excellent</t>
  </si>
  <si>
    <t>Priya Singh</t>
  </si>
  <si>
    <t>Tester</t>
  </si>
  <si>
    <t>Bangalore</t>
  </si>
  <si>
    <t>2022-11-01</t>
  </si>
  <si>
    <t>priya@company.com</t>
  </si>
  <si>
    <t>9876543213</t>
  </si>
  <si>
    <t>Mobile App</t>
  </si>
  <si>
    <t>2023-12-20</t>
  </si>
  <si>
    <t>Needs improvement</t>
  </si>
  <si>
    <t>Karan Patel</t>
  </si>
  <si>
    <t>Sales</t>
  </si>
  <si>
    <t>Sales Executive</t>
  </si>
  <si>
    <t>Ahmedabad</t>
  </si>
  <si>
    <t>karan@company.com</t>
  </si>
  <si>
    <t>9876543214</t>
  </si>
  <si>
    <t>CRM</t>
  </si>
  <si>
    <t>Meena</t>
  </si>
  <si>
    <t>2021-09-18</t>
  </si>
  <si>
    <t>Target achiever</t>
  </si>
  <si>
    <t>Anita Rao</t>
  </si>
  <si>
    <t>Marketing</t>
  </si>
  <si>
    <t>SEO Analyst</t>
  </si>
  <si>
    <t>Hyderabad</t>
  </si>
  <si>
    <t>2021-08-12</t>
  </si>
  <si>
    <t>anita@company.com</t>
  </si>
  <si>
    <t>9876543215</t>
  </si>
  <si>
    <t>Website</t>
  </si>
  <si>
    <t>Sanjay</t>
  </si>
  <si>
    <t>2023-05-30</t>
  </si>
  <si>
    <t>Creative</t>
  </si>
  <si>
    <t>Vikas Jain</t>
  </si>
  <si>
    <t>Operations</t>
  </si>
  <si>
    <t>Coordinator</t>
  </si>
  <si>
    <t>Jaipur</t>
  </si>
  <si>
    <t>2017-02-14</t>
  </si>
  <si>
    <t>Inactive</t>
  </si>
  <si>
    <t>vikas@company.com</t>
  </si>
  <si>
    <t>9876543216</t>
  </si>
  <si>
    <t>Logistics</t>
  </si>
  <si>
    <t>Pooja</t>
  </si>
  <si>
    <t>2020-11-11</t>
  </si>
  <si>
    <t>On hold</t>
  </si>
  <si>
    <t>Sneha Kulkarni</t>
  </si>
  <si>
    <t>Analyst</t>
  </si>
  <si>
    <t>Nagpur</t>
  </si>
  <si>
    <t>2023-03-01</t>
  </si>
  <si>
    <t>sneha@company.com</t>
  </si>
  <si>
    <t>9876543217</t>
  </si>
  <si>
    <t>Budget</t>
  </si>
  <si>
    <t>2024-07-01</t>
  </si>
  <si>
    <t>Fast learner</t>
  </si>
  <si>
    <t>Arjun Nair</t>
  </si>
  <si>
    <t>DevOps</t>
  </si>
  <si>
    <t>Kochi</t>
  </si>
  <si>
    <t>2019-09-09</t>
  </si>
  <si>
    <t>arjun@company.com</t>
  </si>
  <si>
    <t>9876543218</t>
  </si>
  <si>
    <t>Cloud</t>
  </si>
  <si>
    <t>2022-08-22</t>
  </si>
  <si>
    <t>Reliable</t>
  </si>
  <si>
    <t>Pooja Malhotra</t>
  </si>
  <si>
    <t>Recruiter</t>
  </si>
  <si>
    <t>Chandigarh</t>
  </si>
  <si>
    <t>2020-12-05</t>
  </si>
  <si>
    <t>pooja@company.com</t>
  </si>
  <si>
    <t>9876543219</t>
  </si>
  <si>
    <t>Hiring</t>
  </si>
  <si>
    <t>2023-02-10</t>
  </si>
  <si>
    <t>Team player</t>
  </si>
  <si>
    <t>Performance _Rating</t>
  </si>
  <si>
    <t>deepak malviya</t>
  </si>
  <si>
    <t>MAle</t>
  </si>
  <si>
    <t>Activw</t>
  </si>
  <si>
    <t>First Name</t>
  </si>
  <si>
    <t>Amit</t>
  </si>
  <si>
    <t>Neha</t>
  </si>
  <si>
    <t>Rahul</t>
  </si>
  <si>
    <t>Priya</t>
  </si>
  <si>
    <t>Karan</t>
  </si>
  <si>
    <t>Anita</t>
  </si>
  <si>
    <t>Vikas</t>
  </si>
  <si>
    <t>Sneha</t>
  </si>
  <si>
    <t>Arjun</t>
  </si>
  <si>
    <t>deepak</t>
  </si>
  <si>
    <t>name with designation</t>
  </si>
  <si>
    <t>Amit Developer</t>
  </si>
  <si>
    <t>Neha HR Executive</t>
  </si>
  <si>
    <t>Rahul Accountant</t>
  </si>
  <si>
    <t>Priya Tester</t>
  </si>
  <si>
    <t>Karan Sales Executive</t>
  </si>
  <si>
    <t>Anita SEO Analyst</t>
  </si>
  <si>
    <t>Vikas Coordinator</t>
  </si>
  <si>
    <t>Sneha Analyst</t>
  </si>
  <si>
    <t>Arjun DevOps</t>
  </si>
  <si>
    <t>Pooja Recruiter</t>
  </si>
  <si>
    <t>deepak DevOps</t>
  </si>
  <si>
    <t>Branch</t>
  </si>
  <si>
    <t>IFSC</t>
  </si>
  <si>
    <t>IF001</t>
  </si>
  <si>
    <t>fullname</t>
  </si>
  <si>
    <t>Total</t>
  </si>
  <si>
    <t>avg</t>
  </si>
  <si>
    <t>Column1</t>
  </si>
  <si>
    <t>Column2</t>
  </si>
  <si>
    <t>Column3</t>
  </si>
  <si>
    <t>Column4</t>
  </si>
  <si>
    <t>Column5</t>
  </si>
  <si>
    <t>Column6</t>
  </si>
  <si>
    <t>Column8</t>
  </si>
  <si>
    <t>BJP</t>
  </si>
  <si>
    <t>Abhesinh Motibhai Tadvi</t>
  </si>
  <si>
    <t>Sankheda</t>
  </si>
  <si>
    <t>Gujarat</t>
  </si>
  <si>
    <t>69 yrs</t>
  </si>
  <si>
    <t>Akshaykumar Ishvarbhai Patel</t>
  </si>
  <si>
    <t>Karjan</t>
  </si>
  <si>
    <t>56 yrs</t>
  </si>
  <si>
    <t>Alpesh Khodaji Thakor</t>
  </si>
  <si>
    <t>Gandhinagar South</t>
  </si>
  <si>
    <t>49 yrs</t>
  </si>
  <si>
    <t>INC</t>
  </si>
  <si>
    <t>Amit Chavda</t>
  </si>
  <si>
    <t>Anklav</t>
  </si>
  <si>
    <t>Amit Shah</t>
  </si>
  <si>
    <t>Ellisbridge</t>
  </si>
  <si>
    <t>66 yrs</t>
  </si>
  <si>
    <t>Amit Thaker</t>
  </si>
  <si>
    <t>Vejalpur</t>
  </si>
  <si>
    <t>54 yrs</t>
  </si>
  <si>
    <t>Amrutiya Kantilal Shivlal</t>
  </si>
  <si>
    <t>Morbi</t>
  </si>
  <si>
    <t>63 yrs</t>
  </si>
  <si>
    <t>Amrutji Motiji Thakor</t>
  </si>
  <si>
    <t>Kankrej</t>
  </si>
  <si>
    <t>53 yrs</t>
  </si>
  <si>
    <t>Amul Bhatt</t>
  </si>
  <si>
    <t>Maninagar</t>
  </si>
  <si>
    <t>Anantkumar Hasmukhbhai Patel</t>
  </si>
  <si>
    <t>Bansda</t>
  </si>
  <si>
    <t>48 yrs</t>
  </si>
  <si>
    <t>Aniket Girishbhai Thaker</t>
  </si>
  <si>
    <t>Palanpur</t>
  </si>
  <si>
    <t>Aniruddha Bhailal Dave</t>
  </si>
  <si>
    <t>Mandvi (Kachchh)</t>
  </si>
  <si>
    <t>57 yrs</t>
  </si>
  <si>
    <t>Arjunbhai Devabhai Modhwadia</t>
  </si>
  <si>
    <t>Porbandar</t>
  </si>
  <si>
    <t>Arjunsinh Udesinh Chauhan</t>
  </si>
  <si>
    <t>Mehmedabad</t>
  </si>
  <si>
    <t>Arunsinh Ajitsinh Rana</t>
  </si>
  <si>
    <t>Vagra</t>
  </si>
  <si>
    <t>67 yrs</t>
  </si>
  <si>
    <t>Arvind Chhotubhai Patel</t>
  </si>
  <si>
    <t>Dharampur</t>
  </si>
  <si>
    <t>58 yrs</t>
  </si>
  <si>
    <t>Arvind Shantilal Rana</t>
  </si>
  <si>
    <t>Surat East</t>
  </si>
  <si>
    <t>64 yrs</t>
  </si>
  <si>
    <t>Arvindbhai Jinabhai Ladani</t>
  </si>
  <si>
    <t>Manavadar</t>
  </si>
  <si>
    <t>Babubhai Jamnadas Patel</t>
  </si>
  <si>
    <t>Daskroi</t>
  </si>
  <si>
    <t>77 yrs</t>
  </si>
  <si>
    <t>Babusinh Sarabhai Jadav</t>
  </si>
  <si>
    <t>Vatva</t>
  </si>
  <si>
    <t>40 yrs</t>
  </si>
  <si>
    <t>Bachubhai Maganbhai Khabad</t>
  </si>
  <si>
    <t>Devgadhbaria</t>
  </si>
  <si>
    <t>70 yrs</t>
  </si>
  <si>
    <t>Balkrushna Khanderao Shukla</t>
  </si>
  <si>
    <t>Raopura</t>
  </si>
  <si>
    <t>62 yrs</t>
  </si>
  <si>
    <t>Balrajsinh Kalyansinh Chauhan</t>
  </si>
  <si>
    <t>Dahegam</t>
  </si>
  <si>
    <t>Balvantsinh Chandansinh Rajput</t>
  </si>
  <si>
    <t>Sidhpur</t>
  </si>
  <si>
    <t>Bhagabhai Dhanabhai Barad</t>
  </si>
  <si>
    <t>Talala</t>
  </si>
  <si>
    <t>65 yrs</t>
  </si>
  <si>
    <t>Bhagvanjibhai Lakhabhai Kargatiya</t>
  </si>
  <si>
    <t>Mangrol (Junagadh)</t>
  </si>
  <si>
    <t>Bhanuben Manoharbhai Babariya</t>
  </si>
  <si>
    <t>Rajkot Rural</t>
  </si>
  <si>
    <t>50 yrs</t>
  </si>
  <si>
    <t>Bharatbhai Kikubhai Patel</t>
  </si>
  <si>
    <t>Valsad</t>
  </si>
  <si>
    <t>Bhikhabhai Ravajibhai Baraiya</t>
  </si>
  <si>
    <t>Palitana</t>
  </si>
  <si>
    <t>73 yrs</t>
  </si>
  <si>
    <t>Bhikhusinhji Chatursinhji Parmar</t>
  </si>
  <si>
    <t>Modasa</t>
  </si>
  <si>
    <t>71 yrs</t>
  </si>
  <si>
    <t>AAP</t>
  </si>
  <si>
    <t>Bhupendrabhai Gandubhai Bhayani</t>
  </si>
  <si>
    <t>Visavadar</t>
  </si>
  <si>
    <t>Bhupendrabhai Rajnikant Patel</t>
  </si>
  <si>
    <t>Ghatlodia</t>
  </si>
  <si>
    <t>C. J. Chavda</t>
  </si>
  <si>
    <t>Vijapur</t>
  </si>
  <si>
    <t>C. K. Raulji</t>
  </si>
  <si>
    <t>Godhra</t>
  </si>
  <si>
    <t>Chaitanya Makarandbhai Desai</t>
  </si>
  <si>
    <t>Akota</t>
  </si>
  <si>
    <t>52 yrs</t>
  </si>
  <si>
    <t>Chaitanyasinh Pratapsinh Zala</t>
  </si>
  <si>
    <t>Padra</t>
  </si>
  <si>
    <t>47 yrs</t>
  </si>
  <si>
    <t>Chaitarbhai Damjibhai Vasava</t>
  </si>
  <si>
    <t>Dediapada</t>
  </si>
  <si>
    <t>Chhanga Trikam Bijal</t>
  </si>
  <si>
    <t>Anjar</t>
  </si>
  <si>
    <t>Chiragkumar Arvindbhai Patel</t>
  </si>
  <si>
    <t>Khambhat</t>
  </si>
  <si>
    <t>46 yrs</t>
  </si>
  <si>
    <t>Darshita Shah</t>
  </si>
  <si>
    <t>Rajkot West</t>
  </si>
  <si>
    <t>Darshna Chandubhai Deshmukh</t>
  </si>
  <si>
    <t>Nandod</t>
  </si>
  <si>
    <t>Darshna M. Vaghela</t>
  </si>
  <si>
    <t>Asarwa</t>
  </si>
  <si>
    <t>Devabhai Punjabhai Malam</t>
  </si>
  <si>
    <t>Keshod</t>
  </si>
  <si>
    <t>Devkishordasji Bhaktisvarupdasji Swami</t>
  </si>
  <si>
    <t>Jambusar</t>
  </si>
  <si>
    <t>I</t>
  </si>
  <si>
    <t>Dharmendrasinh Ranubha Vaghela</t>
  </si>
  <si>
    <t>Vaghodia</t>
  </si>
  <si>
    <t>Dhavalsinh Narendrasinh Zala</t>
  </si>
  <si>
    <t>Bayad</t>
  </si>
  <si>
    <t>Dineshbhai Ataji Thakor</t>
  </si>
  <si>
    <t>Chanasma</t>
  </si>
  <si>
    <t>55 yrs</t>
  </si>
  <si>
    <t>Dineshsinh Rajendrasinh Kushwaha</t>
  </si>
  <si>
    <t>Bapunagar</t>
  </si>
  <si>
    <t>Divyeshbhai Ranchhodbhai Akbari</t>
  </si>
  <si>
    <t>Jamnagar South</t>
  </si>
  <si>
    <t>Durlabhjibhai Harakhjibhai Dethariya</t>
  </si>
  <si>
    <t>Tankara</t>
  </si>
  <si>
    <t>Fatesinh Vakhatsinh Chauhan</t>
  </si>
  <si>
    <t>Kalol (Panchmahals)</t>
  </si>
  <si>
    <t>Gajendrasinh Udesinh Parmar</t>
  </si>
  <si>
    <t>Prantij</t>
  </si>
  <si>
    <t>Ganpatsinh Vestabhai Vasava</t>
  </si>
  <si>
    <t>Mangrol (Surat)</t>
  </si>
  <si>
    <t>Gautambhai Gopabhai Chauhan</t>
  </si>
  <si>
    <t>Talaja</t>
  </si>
  <si>
    <t>51 yrs</t>
  </si>
  <si>
    <t>Geetaba Jayrajsinh Jadeja</t>
  </si>
  <si>
    <t>Gondal</t>
  </si>
  <si>
    <t>Geniben Nagaji Thakor</t>
  </si>
  <si>
    <t>Vav</t>
  </si>
  <si>
    <t>Gopal Italia</t>
  </si>
  <si>
    <t>Govindbhai Raijibhai Parmar</t>
  </si>
  <si>
    <t>Umreth</t>
  </si>
  <si>
    <t>72 yrs</t>
  </si>
  <si>
    <t>Gulabsinh Somsinh Chauhan</t>
  </si>
  <si>
    <t>Lunawada</t>
  </si>
  <si>
    <t>Hardik Bharatbhai Patel</t>
  </si>
  <si>
    <t>Viramgam</t>
  </si>
  <si>
    <t>32 yrs</t>
  </si>
  <si>
    <t>Harsh Ramesh Sanghvi</t>
  </si>
  <si>
    <t>Majura</t>
  </si>
  <si>
    <t>Harshadbhai Ranchhodbhai Patel</t>
  </si>
  <si>
    <t>Sabarmati</t>
  </si>
  <si>
    <t>Hasmukh Patel</t>
  </si>
  <si>
    <t>Amraiwadi</t>
  </si>
  <si>
    <t>Hemantbhai Hardasbhai Ahir</t>
  </si>
  <si>
    <t>Jamjodhpur</t>
  </si>
  <si>
    <t>Hirabhai Odhavjibhai Solanki</t>
  </si>
  <si>
    <t>Rajula</t>
  </si>
  <si>
    <t>60 yrs</t>
  </si>
  <si>
    <t>Imran Khedawala</t>
  </si>
  <si>
    <t>Jamalpur - Khadia</t>
  </si>
  <si>
    <t>Ishvarbhai Alias Anilbhai Ramanbhai Parmar</t>
  </si>
  <si>
    <t>Bardoli</t>
  </si>
  <si>
    <t>Ishwarsinh Thakorbhai Patel</t>
  </si>
  <si>
    <t>Ankleshwar</t>
  </si>
  <si>
    <t>Jagdish Vishwakarma</t>
  </si>
  <si>
    <t>Nikol</t>
  </si>
  <si>
    <t>Jagdishbhai Prabhubhai Makwana</t>
  </si>
  <si>
    <t>Wadhwan</t>
  </si>
  <si>
    <t>Janakbhai Talaviya</t>
  </si>
  <si>
    <t>Lathi</t>
  </si>
  <si>
    <t>Jayantibhai Savjibhai Rathwa</t>
  </si>
  <si>
    <t>Jetpur (Chhota Udepur)</t>
  </si>
  <si>
    <t>Jayantibhai Somabhai Patel</t>
  </si>
  <si>
    <t>Mansa</t>
  </si>
  <si>
    <t>Jaydrathsinhji Parmar</t>
  </si>
  <si>
    <t>Halol</t>
  </si>
  <si>
    <t>61 yrs</t>
  </si>
  <si>
    <t>Jayeshbhai Vitthalbhai Radadiya</t>
  </si>
  <si>
    <t>Jetpur (Rajkot)</t>
  </si>
  <si>
    <t>43 yrs</t>
  </si>
  <si>
    <t>Jayrambhai Chemabhai Gamit</t>
  </si>
  <si>
    <t>Nizar</t>
  </si>
  <si>
    <t>Jaysukhbhai Vallabhbhai Kakadiya</t>
  </si>
  <si>
    <t>Dhari</t>
  </si>
  <si>
    <t>Jethabhai Ghelabhai Ahir</t>
  </si>
  <si>
    <t>Shehra</t>
  </si>
  <si>
    <t>75 yrs</t>
  </si>
  <si>
    <t>Jignesh Mevani</t>
  </si>
  <si>
    <t>Vadgam</t>
  </si>
  <si>
    <t>44 yrs</t>
  </si>
  <si>
    <t>Jitendra Kantilal Somani</t>
  </si>
  <si>
    <t>Wankaner</t>
  </si>
  <si>
    <t>Jitendrabhai Savajibhai Vaghani</t>
  </si>
  <si>
    <t>Bhavnagar West</t>
  </si>
  <si>
    <t>Jitendrakumar Ramanlal Patel</t>
  </si>
  <si>
    <t>Naranpura</t>
  </si>
  <si>
    <t>Jitubhai Harjibhai Chaudhari</t>
  </si>
  <si>
    <t>Kaprada</t>
  </si>
  <si>
    <t>Kalpeshbhai Ashabhai Parmar</t>
  </si>
  <si>
    <t>Matar</t>
  </si>
  <si>
    <t>Kalubhai Chanabhai Rathod</t>
  </si>
  <si>
    <t>Una</t>
  </si>
  <si>
    <t>Kalubhai Rupabhai Dabhi</t>
  </si>
  <si>
    <t>Dhandhuka</t>
  </si>
  <si>
    <t>Kamleshbhai Rameshbhai Patel</t>
  </si>
  <si>
    <t>Petlad</t>
  </si>
  <si>
    <t>Kanaiyalal Bachubhai Kishori</t>
  </si>
  <si>
    <t>Dahod</t>
  </si>
  <si>
    <t>42 yrs</t>
  </si>
  <si>
    <t>Kanchanben Vinubhai Radadiya</t>
  </si>
  <si>
    <t>Thakkarbapa Nagar</t>
  </si>
  <si>
    <t>SP</t>
  </si>
  <si>
    <t>Kandhalbhai Sarmanbhai Jadeja</t>
  </si>
  <si>
    <t>Kutiyana</t>
  </si>
  <si>
    <t>Kantibhai Himmatbhai Balar</t>
  </si>
  <si>
    <t>Surat North</t>
  </si>
  <si>
    <t>Kantibhai Kalabhai Kharadi</t>
  </si>
  <si>
    <t>Danta</t>
  </si>
  <si>
    <t>Kanubhai Karamshibhai Patel</t>
  </si>
  <si>
    <t>Sanand</t>
  </si>
  <si>
    <t>Kanubhai Mohanlal Desai</t>
  </si>
  <si>
    <t>Pardi</t>
  </si>
  <si>
    <t>74 yrs</t>
  </si>
  <si>
    <t>Karsanbhai Punjabhai Solanki</t>
  </si>
  <si>
    <t>Kadi</t>
  </si>
  <si>
    <t>68 yrs</t>
  </si>
  <si>
    <t>Kaushik Kantibhai Vekariya</t>
  </si>
  <si>
    <t>Amreli</t>
  </si>
  <si>
    <t>39 yrs</t>
  </si>
  <si>
    <t>Kaushikbhai Sukhlal Jain</t>
  </si>
  <si>
    <t>Dariapur</t>
  </si>
  <si>
    <t>Keshaji Shivaji Chauhan</t>
  </si>
  <si>
    <t>Deodar</t>
  </si>
  <si>
    <t>Keshubhai Shivdas Patel</t>
  </si>
  <si>
    <t>Bhuj</t>
  </si>
  <si>
    <t>Ketanbhai Mahendrabhai Inamdar</t>
  </si>
  <si>
    <t>Savli</t>
  </si>
  <si>
    <t>Kiritkumar Chimanlal Patel</t>
  </si>
  <si>
    <t>Patan</t>
  </si>
  <si>
    <t>Kiritsinh Jitubha Rana</t>
  </si>
  <si>
    <t>Limbdi</t>
  </si>
  <si>
    <t>Kiritsinh Sardarsang Dabhi</t>
  </si>
  <si>
    <t>Dholka</t>
  </si>
  <si>
    <t>Kishor Kanani</t>
  </si>
  <si>
    <t>Varachha Road</t>
  </si>
  <si>
    <t>Kuberbhai Mansukhbhai Dindor</t>
  </si>
  <si>
    <t>Santrampur</t>
  </si>
  <si>
    <t>Kunvarjibhai Mohanbhai Bavaliya</t>
  </si>
  <si>
    <t>Jasdan</t>
  </si>
  <si>
    <t>Kunvarjibhai Narsinhbhai Halpati</t>
  </si>
  <si>
    <t>Mandvi (Surat)</t>
  </si>
  <si>
    <t>Lavingji Muljiji Solanki</t>
  </si>
  <si>
    <t>Radhanpur</t>
  </si>
  <si>
    <t>Laxmanji Punjaji Thakor</t>
  </si>
  <si>
    <t>Kalol (Gandhinagar)</t>
  </si>
  <si>
    <t>Mahendrabhai Padalia</t>
  </si>
  <si>
    <t>Dhoraji</t>
  </si>
  <si>
    <t>Mahendrabhai Rameshbhai Bhabhor</t>
  </si>
  <si>
    <t>Garbada</t>
  </si>
  <si>
    <t>Mahesh Kaswala</t>
  </si>
  <si>
    <t>Savarkundla</t>
  </si>
  <si>
    <t>Maheshbhai Somjibhai Bhuriya</t>
  </si>
  <si>
    <t>Jhalod</t>
  </si>
  <si>
    <t>Malti Kishor Maheshwari</t>
  </si>
  <si>
    <t>Gandhidham</t>
  </si>
  <si>
    <t>36 yrs</t>
  </si>
  <si>
    <t>Manisha Vakil</t>
  </si>
  <si>
    <t>Vadodara City</t>
  </si>
  <si>
    <t>Mansinh Kohyabhai Chauhan</t>
  </si>
  <si>
    <t>Balasinor</t>
  </si>
  <si>
    <t>Manubhai M. Patel</t>
  </si>
  <si>
    <t>Udhna</t>
  </si>
  <si>
    <t>Mavjibhai Maganbhai Desai</t>
  </si>
  <si>
    <t>Dhanera</t>
  </si>
  <si>
    <t>Meghjibhai Amarabhai Chavda</t>
  </si>
  <si>
    <t>Kalavad</t>
  </si>
  <si>
    <t>Mohanbhai Dhanjibhai Dhodiya</t>
  </si>
  <si>
    <t>Mahuva (ST)</t>
  </si>
  <si>
    <t>Mohanbhai Dhedabhai Kokani</t>
  </si>
  <si>
    <t>Vyara</t>
  </si>
  <si>
    <t>Mukeshbhai Zinabhai Patel</t>
  </si>
  <si>
    <t>Olpad</t>
  </si>
  <si>
    <t>Mukeshkumar D. Patel</t>
  </si>
  <si>
    <t>Mahesana</t>
  </si>
  <si>
    <t>59 yrs</t>
  </si>
  <si>
    <t>Mulubhai Hardasbhai Bera Ayar</t>
  </si>
  <si>
    <t>Khambhalia</t>
  </si>
  <si>
    <t>Narayandas Rokadia Keyur</t>
  </si>
  <si>
    <t>Sayajigunj</t>
  </si>
  <si>
    <t>Nareshbhai Maganbhai Patel</t>
  </si>
  <si>
    <t>Gandevi</t>
  </si>
  <si>
    <t>Nimishaben Manharsinh Suthar</t>
  </si>
  <si>
    <t>Morva Hadaf</t>
  </si>
  <si>
    <t>P. C. Baranda</t>
  </si>
  <si>
    <t>Bhiloda</t>
  </si>
  <si>
    <t>P. K. Parmar</t>
  </si>
  <si>
    <t>Dasada</t>
  </si>
  <si>
    <t>Pabubha Virambha Manek</t>
  </si>
  <si>
    <t>Dwarka</t>
  </si>
  <si>
    <t>Pankajbhai Vinubhai Desai</t>
  </si>
  <si>
    <t>Nadiad</t>
  </si>
  <si>
    <t>Parshottambhai O. Solanki</t>
  </si>
  <si>
    <t>Bhavnagar Rural</t>
  </si>
  <si>
    <t>Patel Kiritkumar Keshavlal</t>
  </si>
  <si>
    <t>Unjha</t>
  </si>
  <si>
    <t>Payal Manojkumar Kukrani</t>
  </si>
  <si>
    <t>Naroda</t>
  </si>
  <si>
    <t>Pradhyumansinh Mahipatsinh Jadeja</t>
  </si>
  <si>
    <t>Abdasa</t>
  </si>
  <si>
    <t>Pradyuman Ganubhai Vaja</t>
  </si>
  <si>
    <t>Kodinar</t>
  </si>
  <si>
    <t>Praful Pansheriya</t>
  </si>
  <si>
    <t>Kamrej</t>
  </si>
  <si>
    <t>Prakashbhai Parsotambhai Varmora</t>
  </si>
  <si>
    <t>Dhrangadhra</t>
  </si>
  <si>
    <t>Pravinbhai Manjibhai Ghoghari</t>
  </si>
  <si>
    <t>Karanj</t>
  </si>
  <si>
    <t>Pravinkumar Gordhanji Mali</t>
  </si>
  <si>
    <t>Deesa</t>
  </si>
  <si>
    <t>Purnesh Modi</t>
  </si>
  <si>
    <t>Surat West</t>
  </si>
  <si>
    <t>R. C. Patel</t>
  </si>
  <si>
    <t>Jalalpore</t>
  </si>
  <si>
    <t>Raghavjibhai Hansrajbhai Patel</t>
  </si>
  <si>
    <t>Jamnagar Rural</t>
  </si>
  <si>
    <t>Rajendrakumar (Rajubhai) Daneshwar Chavda</t>
  </si>
  <si>
    <t>Rajendrasinh Mohansinh Rathva</t>
  </si>
  <si>
    <t>Chhota Udaipur</t>
  </si>
  <si>
    <t>Rajeshkumar Maganbhai Zala</t>
  </si>
  <si>
    <t>Kapadvanj</t>
  </si>
  <si>
    <t>37 yrs</t>
  </si>
  <si>
    <t>Rakesh Gunvantbhai Desai</t>
  </si>
  <si>
    <t>Navsari</t>
  </si>
  <si>
    <t>Ramanbhai Bhikhabhai Solanki</t>
  </si>
  <si>
    <t>Borsad</t>
  </si>
  <si>
    <t>Ramanlal Ishwarlal Vora</t>
  </si>
  <si>
    <t>Idar</t>
  </si>
  <si>
    <t>Ramanlal Nanubhai Patkar</t>
  </si>
  <si>
    <t>Umbergaon</t>
  </si>
  <si>
    <t>Rameshbhai Bhurabhai Katara</t>
  </si>
  <si>
    <t>Fatepura</t>
  </si>
  <si>
    <t>Rameshbhai Narandas Mistry</t>
  </si>
  <si>
    <t>Bharuch</t>
  </si>
  <si>
    <t>Rameshbhai Virjibhai Tilala</t>
  </si>
  <si>
    <t>Rajkot South</t>
  </si>
  <si>
    <t>Ritaben Ketankumar Patel</t>
  </si>
  <si>
    <t>Gandhinagar North</t>
  </si>
  <si>
    <t>Riteshkumar Ramanbhai Vasava</t>
  </si>
  <si>
    <t>Jhagadia</t>
  </si>
  <si>
    <t>Rivaba Ravindrasinh Jadeja</t>
  </si>
  <si>
    <t>Jamnagar North</t>
  </si>
  <si>
    <t>35 yrs</t>
  </si>
  <si>
    <t>Rushikesh Ganeshbhai Patel</t>
  </si>
  <si>
    <t>Visnagar</t>
  </si>
  <si>
    <t>Sandip Desai</t>
  </si>
  <si>
    <t>Choryasi</t>
  </si>
  <si>
    <t>Sangitaben Rajendra Patil</t>
  </si>
  <si>
    <t>Limbayat</t>
  </si>
  <si>
    <t>Sanjay Sukhabhai Koradia</t>
  </si>
  <si>
    <t>Junagadh</t>
  </si>
  <si>
    <t>Sanjaysinh Vijaysinh Mahida</t>
  </si>
  <si>
    <t>Mahudha</t>
  </si>
  <si>
    <t>45 yrs</t>
  </si>
  <si>
    <t>Sardarbhai Shamalbhai Chaudhary</t>
  </si>
  <si>
    <t>Kheralu</t>
  </si>
  <si>
    <t>Sejalben Rajivkumar Pandya</t>
  </si>
  <si>
    <t>Bhavnagar East</t>
  </si>
  <si>
    <t>Shailesh Manubhai Parmar</t>
  </si>
  <si>
    <t>Danilimda</t>
  </si>
  <si>
    <t>Shaileshbhai Kanaiyalal Mehta</t>
  </si>
  <si>
    <t>Dabhoi</t>
  </si>
  <si>
    <t>Shaileshbhai Sumanbhai Bhabhor</t>
  </si>
  <si>
    <t>Limkheda</t>
  </si>
  <si>
    <t>Shamajibhai Bhimajibhai Chauhan</t>
  </si>
  <si>
    <t>Chotila</t>
  </si>
  <si>
    <t>Shambhunath Tundiya Mahant</t>
  </si>
  <si>
    <t>Gadhada</t>
  </si>
  <si>
    <t>Shankarbhai Lagdhirbhai Chaudhary</t>
  </si>
  <si>
    <t>Tharad</t>
  </si>
  <si>
    <t>Shivabhai Jerambhai Gohil</t>
  </si>
  <si>
    <t>Mahuva (Bhavnagar)</t>
  </si>
  <si>
    <t>Sudhirbhai Vaghani</t>
  </si>
  <si>
    <t>Gariadhar</t>
  </si>
  <si>
    <t>Sukhaji Somaji Thakor</t>
  </si>
  <si>
    <t>Becharaji</t>
  </si>
  <si>
    <t>Thakor Swarupji Sardarji</t>
  </si>
  <si>
    <t>Tushar Amarsinh Chaudhary</t>
  </si>
  <si>
    <t>Khedbrahma</t>
  </si>
  <si>
    <t>Uday Kangad</t>
  </si>
  <si>
    <t>Rajkot East</t>
  </si>
  <si>
    <t>Umeshbhai Naranbhai Makwana</t>
  </si>
  <si>
    <t>Botad</t>
  </si>
  <si>
    <t>Vijaybhai Rameshbhai Patel</t>
  </si>
  <si>
    <t>Dangs</t>
  </si>
  <si>
    <t>Vimalbhai Kanabhai Chudasama</t>
  </si>
  <si>
    <t>Somnath</t>
  </si>
  <si>
    <t>Vinendrasinh Dilipsinh Zala</t>
  </si>
  <si>
    <t>Himatnagar</t>
  </si>
  <si>
    <t>Vinodbhai Amarshibhai Moradiya</t>
  </si>
  <si>
    <t>Katargam</t>
  </si>
  <si>
    <t>Vipulkumar Vinubhai Patel</t>
  </si>
  <si>
    <t>Sojitra</t>
  </si>
  <si>
    <t>Virendrasinh Bahadursinh Jadeja</t>
  </si>
  <si>
    <t>Rapar</t>
  </si>
  <si>
    <t>Yogendrasinh Parmar</t>
  </si>
  <si>
    <t>Thasra</t>
  </si>
  <si>
    <t>Yogesh R. Patel</t>
  </si>
  <si>
    <t>Anand</t>
  </si>
  <si>
    <t>Yogeshbhai Narandas Patel</t>
  </si>
  <si>
    <t>Manjalpur</t>
  </si>
  <si>
    <t>79 yrs</t>
  </si>
  <si>
    <t xml:space="preserve"> 44</t>
  </si>
  <si>
    <t xml:space="preserve"> 16</t>
  </si>
  <si>
    <t xml:space="preserve"> 17</t>
  </si>
  <si>
    <t xml:space="preserve"> 99</t>
  </si>
  <si>
    <t xml:space="preserve"> 10</t>
  </si>
  <si>
    <t xml:space="preserve"> 11</t>
  </si>
  <si>
    <t xml:space="preserve"> 21</t>
  </si>
  <si>
    <t xml:space="preserve"> 79</t>
  </si>
  <si>
    <t xml:space="preserve"> 7</t>
  </si>
  <si>
    <t xml:space="preserve"> 98</t>
  </si>
  <si>
    <t xml:space="preserve"> 19</t>
  </si>
  <si>
    <t xml:space="preserve"> 27</t>
  </si>
  <si>
    <t xml:space="preserve"> 109</t>
  </si>
  <si>
    <t xml:space="preserve"> 62</t>
  </si>
  <si>
    <t xml:space="preserve"> 12</t>
  </si>
  <si>
    <t xml:space="preserve"> 5</t>
  </si>
  <si>
    <t xml:space="preserve"> 14</t>
  </si>
  <si>
    <t xml:space="preserve"> 30</t>
  </si>
  <si>
    <t xml:space="preserve"> 22</t>
  </si>
  <si>
    <t xml:space="preserve"> 25</t>
  </si>
  <si>
    <t xml:space="preserve"> 20</t>
  </si>
  <si>
    <t xml:space="preserve"> 6</t>
  </si>
  <si>
    <t xml:space="preserve"> 3</t>
  </si>
  <si>
    <t xml:space="preserve"> 48</t>
  </si>
  <si>
    <t xml:space="preserve"> 28</t>
  </si>
  <si>
    <t xml:space="preserve"> 8</t>
  </si>
  <si>
    <t xml:space="preserve"> 42</t>
  </si>
  <si>
    <t xml:space="preserve"> 97</t>
  </si>
  <si>
    <t xml:space="preserve"> 51</t>
  </si>
  <si>
    <t xml:space="preserve"> 100</t>
  </si>
  <si>
    <t xml:space="preserve"> 53</t>
  </si>
  <si>
    <t xml:space="preserve"> 26</t>
  </si>
  <si>
    <t xml:space="preserve"> 23</t>
  </si>
  <si>
    <t xml:space="preserve"> 91</t>
  </si>
  <si>
    <t xml:space="preserve"> 18</t>
  </si>
  <si>
    <t xml:space="preserve"> 2</t>
  </si>
  <si>
    <t xml:space="preserve"> 24</t>
  </si>
  <si>
    <t xml:space="preserve"> 107</t>
  </si>
  <si>
    <t xml:space="preserve"> 9</t>
  </si>
  <si>
    <t xml:space="preserve"> 101</t>
  </si>
  <si>
    <t xml:space="preserve"> 13</t>
  </si>
  <si>
    <t xml:space="preserve"> 34</t>
  </si>
  <si>
    <t xml:space="preserve"> 29</t>
  </si>
  <si>
    <t xml:space="preserve"> 1</t>
  </si>
  <si>
    <t xml:space="preserve"> 104</t>
  </si>
  <si>
    <t xml:space="preserve"> 82</t>
  </si>
  <si>
    <t xml:space="preserve"> 31</t>
  </si>
  <si>
    <t xml:space="preserve"> 15</t>
  </si>
  <si>
    <t xml:space="preserve"> 112</t>
  </si>
  <si>
    <t xml:space="preserve"> 110</t>
  </si>
  <si>
    <t xml:space="preserve"> 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</si>
</sst>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</cellStyleXfs>
  <cellXfs count="6">
    <xf numFmtId="0" fontId="0" fillId="0" borderId="0" xfId="0"/>
    <xf numFmtId="0" fontId="3" fillId="3" borderId="0" xfId="0" applyFont="1" applyFill="1" applyAlignment="1">
      <alignment horizontal="left" vertical="center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Protection="1">
      <protection locked="0"/>
    </xf>
    <xf numFmtId="0" fontId="0" fillId="0" borderId="0" xfId="0" applyNumberFormat="1"/>
  </cellXfs>
  <cellStyles count="3">
    <cellStyle name="Normal" xfId="0" builtinId="0"/>
    <cellStyle name="Style 1" xfId="1" xr:uid="{239215EE-C903-4367-9385-C46C56BF56CB}"/>
    <cellStyle name="Style 2" xfId="2" xr:uid="{F5487B47-644F-43FA-BF28-4F9DC1B2F074}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E33C52-D76B-43E5-A9B6-5C78FDE3148C}" autoFormatId="16" applyNumberFormats="0" applyBorderFormats="0" applyFontFormats="0" applyPatternFormats="0" applyAlignmentFormats="0" applyWidthHeightFormats="0">
  <queryTableRefresh nextId="11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8" name="Column8" tableColumnId="8"/>
    </queryTableFields>
    <queryTableDeletedFields count="2">
      <deletedField name="Column7"/>
      <deletedField name="Column7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8394C6-E86E-438A-8BA2-21A7DF24AF02}" name="Table_1" displayName="Table_1" ref="A1:G189" tableType="queryTable" totalsRowShown="0">
  <autoFilter ref="A1:G189" xr:uid="{D38394C6-E86E-438A-8BA2-21A7DF24AF02}"/>
  <tableColumns count="7">
    <tableColumn id="1" xr3:uid="{B7B3F1A2-4D4A-4502-BE9C-F0830867CA17}" uniqueName="1" name="Column1" queryTableFieldId="1" dataDxfId="5"/>
    <tableColumn id="2" xr3:uid="{B8299813-C895-4991-9E58-85D06F84D8CB}" uniqueName="2" name="Column2" queryTableFieldId="2" dataDxfId="4"/>
    <tableColumn id="3" xr3:uid="{2DA0D83B-6D4E-479F-8C7A-CF369952C884}" uniqueName="3" name="Column3" queryTableFieldId="3" dataDxfId="3"/>
    <tableColumn id="4" xr3:uid="{455C68B7-9E36-4B1A-B0D4-524C0E2D1A01}" uniqueName="4" name="Column4" queryTableFieldId="4" dataDxfId="2"/>
    <tableColumn id="5" xr3:uid="{FA8040D9-985E-4498-8A73-839B191F3DDC}" uniqueName="5" name="Column5" queryTableFieldId="5" dataDxfId="1"/>
    <tableColumn id="6" xr3:uid="{4E67DBCA-880B-47FB-B4ED-C603ABCD5CB6}" uniqueName="6" name="Column6" queryTableFieldId="6"/>
    <tableColumn id="8" xr3:uid="{4CC4DBE8-8BBE-4393-B9BD-40AB865DC942}" uniqueName="8" name="Column8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87D24A1-2BD0-4D44-B69B-BA8D3D02566F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tZpQ3z7CcdwDyY9May91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9292-A142-4067-A125-D890144D8972}">
  <dimension ref="A1:G189"/>
  <sheetViews>
    <sheetView tabSelected="1" workbookViewId="0">
      <selection activeCell="E5" sqref="E5"/>
    </sheetView>
  </sheetViews>
  <sheetFormatPr defaultRowHeight="15" x14ac:dyDescent="0.25"/>
  <cols>
    <col min="1" max="1" width="11.140625" bestFit="1" customWidth="1"/>
    <col min="2" max="2" width="42.28515625" bestFit="1" customWidth="1"/>
    <col min="3" max="3" width="22.140625" bestFit="1" customWidth="1"/>
    <col min="4" max="7" width="11.140625" bestFit="1" customWidth="1"/>
  </cols>
  <sheetData>
    <row r="1" spans="1:7" x14ac:dyDescent="0.25">
      <c r="A1" t="s">
        <v>156</v>
      </c>
      <c r="B1" t="s">
        <v>157</v>
      </c>
      <c r="C1" t="s">
        <v>158</v>
      </c>
      <c r="D1" t="s">
        <v>159</v>
      </c>
      <c r="E1" t="s">
        <v>160</v>
      </c>
      <c r="F1" t="s">
        <v>161</v>
      </c>
      <c r="G1" t="s">
        <v>162</v>
      </c>
    </row>
    <row r="2" spans="1:7" x14ac:dyDescent="0.25">
      <c r="A2" s="5" t="s">
        <v>163</v>
      </c>
      <c r="B2" s="5" t="s">
        <v>164</v>
      </c>
      <c r="C2" s="5" t="s">
        <v>165</v>
      </c>
      <c r="D2" s="5" t="s">
        <v>166</v>
      </c>
      <c r="E2" s="5" t="s">
        <v>167</v>
      </c>
      <c r="F2">
        <v>0.93</v>
      </c>
      <c r="G2" s="5" t="s">
        <v>578</v>
      </c>
    </row>
    <row r="3" spans="1:7" x14ac:dyDescent="0.25">
      <c r="A3" s="5" t="s">
        <v>163</v>
      </c>
      <c r="B3" s="5" t="s">
        <v>168</v>
      </c>
      <c r="C3" s="5" t="s">
        <v>169</v>
      </c>
      <c r="D3" s="5" t="s">
        <v>166</v>
      </c>
      <c r="E3" s="5" t="s">
        <v>170</v>
      </c>
      <c r="F3">
        <v>0.69</v>
      </c>
      <c r="G3" s="5" t="s">
        <v>579</v>
      </c>
    </row>
    <row r="4" spans="1:7" x14ac:dyDescent="0.25">
      <c r="A4" s="5" t="s">
        <v>163</v>
      </c>
      <c r="B4" s="5" t="s">
        <v>171</v>
      </c>
      <c r="C4" s="5" t="s">
        <v>172</v>
      </c>
      <c r="D4" s="5" t="s">
        <v>166</v>
      </c>
      <c r="E4" s="5" t="s">
        <v>173</v>
      </c>
      <c r="F4">
        <v>0.91</v>
      </c>
      <c r="G4" s="5" t="s">
        <v>580</v>
      </c>
    </row>
    <row r="5" spans="1:7" x14ac:dyDescent="0.25">
      <c r="A5" s="5" t="s">
        <v>174</v>
      </c>
      <c r="B5" s="5" t="s">
        <v>175</v>
      </c>
      <c r="C5" s="5" t="s">
        <v>176</v>
      </c>
      <c r="D5" s="5" t="s">
        <v>166</v>
      </c>
      <c r="E5" s="5" t="s">
        <v>173</v>
      </c>
      <c r="F5">
        <v>0.77</v>
      </c>
      <c r="G5" s="5" t="s">
        <v>581</v>
      </c>
    </row>
    <row r="6" spans="1:7" x14ac:dyDescent="0.25">
      <c r="A6" s="5" t="s">
        <v>163</v>
      </c>
      <c r="B6" s="5" t="s">
        <v>177</v>
      </c>
      <c r="C6" s="5" t="s">
        <v>178</v>
      </c>
      <c r="D6" s="5" t="s">
        <v>166</v>
      </c>
      <c r="E6" s="5" t="s">
        <v>179</v>
      </c>
      <c r="F6">
        <v>0.92</v>
      </c>
      <c r="G6" s="5" t="s">
        <v>582</v>
      </c>
    </row>
    <row r="7" spans="1:7" x14ac:dyDescent="0.25">
      <c r="A7" s="5" t="s">
        <v>163</v>
      </c>
      <c r="B7" s="5" t="s">
        <v>180</v>
      </c>
      <c r="C7" s="5" t="s">
        <v>181</v>
      </c>
      <c r="D7" s="5" t="s">
        <v>166</v>
      </c>
      <c r="E7" s="5" t="s">
        <v>182</v>
      </c>
      <c r="F7">
        <v>0.92</v>
      </c>
      <c r="G7" s="5" t="s">
        <v>583</v>
      </c>
    </row>
    <row r="8" spans="1:7" x14ac:dyDescent="0.25">
      <c r="A8" s="5" t="s">
        <v>163</v>
      </c>
      <c r="B8" s="5" t="s">
        <v>183</v>
      </c>
      <c r="C8" s="5" t="s">
        <v>184</v>
      </c>
      <c r="D8" s="5" t="s">
        <v>166</v>
      </c>
      <c r="E8" s="5" t="s">
        <v>185</v>
      </c>
      <c r="F8">
        <v>0.91</v>
      </c>
      <c r="G8" s="5" t="s">
        <v>584</v>
      </c>
    </row>
    <row r="9" spans="1:7" x14ac:dyDescent="0.25">
      <c r="A9" s="5" t="s">
        <v>174</v>
      </c>
      <c r="B9" s="5" t="s">
        <v>186</v>
      </c>
      <c r="C9" s="5" t="s">
        <v>187</v>
      </c>
      <c r="D9" s="5" t="s">
        <v>166</v>
      </c>
      <c r="E9" s="5" t="s">
        <v>188</v>
      </c>
      <c r="F9">
        <v>0.93</v>
      </c>
      <c r="G9" s="5" t="s">
        <v>585</v>
      </c>
    </row>
    <row r="10" spans="1:7" x14ac:dyDescent="0.25">
      <c r="A10" s="5" t="s">
        <v>163</v>
      </c>
      <c r="B10" s="5" t="s">
        <v>189</v>
      </c>
      <c r="C10" s="5" t="s">
        <v>190</v>
      </c>
      <c r="D10" s="5" t="s">
        <v>166</v>
      </c>
      <c r="E10" s="5" t="s">
        <v>179</v>
      </c>
      <c r="F10">
        <v>0.99</v>
      </c>
      <c r="G10" s="5" t="s">
        <v>586</v>
      </c>
    </row>
    <row r="11" spans="1:7" x14ac:dyDescent="0.25">
      <c r="A11" s="5" t="s">
        <v>174</v>
      </c>
      <c r="B11" s="5" t="s">
        <v>191</v>
      </c>
      <c r="C11" s="5" t="s">
        <v>192</v>
      </c>
      <c r="D11" s="5" t="s">
        <v>166</v>
      </c>
      <c r="E11" s="5" t="s">
        <v>193</v>
      </c>
      <c r="F11">
        <v>0.67</v>
      </c>
      <c r="G11" s="5" t="s">
        <v>587</v>
      </c>
    </row>
    <row r="12" spans="1:7" x14ac:dyDescent="0.25">
      <c r="A12" s="5" t="s">
        <v>163</v>
      </c>
      <c r="B12" s="5" t="s">
        <v>194</v>
      </c>
      <c r="C12" s="5" t="s">
        <v>195</v>
      </c>
      <c r="D12" s="5" t="s">
        <v>166</v>
      </c>
      <c r="E12" s="5" t="s">
        <v>182</v>
      </c>
      <c r="F12">
        <v>0.95</v>
      </c>
      <c r="G12" s="5" t="s">
        <v>588</v>
      </c>
    </row>
    <row r="13" spans="1:7" x14ac:dyDescent="0.25">
      <c r="A13" s="5" t="s">
        <v>163</v>
      </c>
      <c r="B13" s="5" t="s">
        <v>196</v>
      </c>
      <c r="C13" s="5" t="s">
        <v>197</v>
      </c>
      <c r="D13" s="5" t="s">
        <v>166</v>
      </c>
      <c r="E13" s="5" t="s">
        <v>198</v>
      </c>
      <c r="F13">
        <v>0.95</v>
      </c>
      <c r="G13" s="5" t="s">
        <v>589</v>
      </c>
    </row>
    <row r="14" spans="1:7" x14ac:dyDescent="0.25">
      <c r="A14" s="5" t="s">
        <v>174</v>
      </c>
      <c r="B14" s="5" t="s">
        <v>199</v>
      </c>
      <c r="C14" s="5" t="s">
        <v>200</v>
      </c>
      <c r="D14" s="5" t="s">
        <v>166</v>
      </c>
      <c r="E14" s="5" t="s">
        <v>167</v>
      </c>
      <c r="F14">
        <v>0.91</v>
      </c>
      <c r="G14" s="5" t="s">
        <v>590</v>
      </c>
    </row>
    <row r="15" spans="1:7" x14ac:dyDescent="0.25">
      <c r="A15" s="5" t="s">
        <v>163</v>
      </c>
      <c r="B15" s="5" t="s">
        <v>201</v>
      </c>
      <c r="C15" s="5" t="s">
        <v>202</v>
      </c>
      <c r="D15" s="5" t="s">
        <v>166</v>
      </c>
      <c r="E15" s="5" t="s">
        <v>173</v>
      </c>
      <c r="F15">
        <v>0.9</v>
      </c>
      <c r="G15" s="5"/>
    </row>
    <row r="16" spans="1:7" x14ac:dyDescent="0.25">
      <c r="A16" s="5" t="s">
        <v>163</v>
      </c>
      <c r="B16" s="5" t="s">
        <v>203</v>
      </c>
      <c r="C16" s="5" t="s">
        <v>204</v>
      </c>
      <c r="D16" s="5" t="s">
        <v>166</v>
      </c>
      <c r="E16" s="5" t="s">
        <v>205</v>
      </c>
      <c r="F16">
        <v>0.64</v>
      </c>
      <c r="G16" s="5" t="s">
        <v>580</v>
      </c>
    </row>
    <row r="17" spans="1:7" x14ac:dyDescent="0.25">
      <c r="A17" s="5" t="s">
        <v>163</v>
      </c>
      <c r="B17" s="5" t="s">
        <v>206</v>
      </c>
      <c r="C17" s="5" t="s">
        <v>207</v>
      </c>
      <c r="D17" s="5" t="s">
        <v>166</v>
      </c>
      <c r="E17" s="5" t="s">
        <v>208</v>
      </c>
      <c r="F17">
        <v>0.9</v>
      </c>
      <c r="G17" s="5" t="s">
        <v>589</v>
      </c>
    </row>
    <row r="18" spans="1:7" x14ac:dyDescent="0.25">
      <c r="A18" s="5" t="s">
        <v>163</v>
      </c>
      <c r="B18" s="5" t="s">
        <v>209</v>
      </c>
      <c r="C18" s="5" t="s">
        <v>210</v>
      </c>
      <c r="D18" s="5" t="s">
        <v>166</v>
      </c>
      <c r="E18" s="5" t="s">
        <v>211</v>
      </c>
      <c r="F18">
        <v>0.93</v>
      </c>
      <c r="G18" s="5" t="s">
        <v>579</v>
      </c>
    </row>
    <row r="19" spans="1:7" x14ac:dyDescent="0.25">
      <c r="A19" s="5" t="s">
        <v>174</v>
      </c>
      <c r="B19" s="5" t="s">
        <v>212</v>
      </c>
      <c r="C19" s="5" t="s">
        <v>213</v>
      </c>
      <c r="D19" s="5" t="s">
        <v>166</v>
      </c>
      <c r="E19" s="5" t="s">
        <v>185</v>
      </c>
      <c r="F19">
        <v>0.88</v>
      </c>
      <c r="G19" s="5" t="s">
        <v>591</v>
      </c>
    </row>
    <row r="20" spans="1:7" x14ac:dyDescent="0.25">
      <c r="A20" s="5" t="s">
        <v>163</v>
      </c>
      <c r="B20" s="5" t="s">
        <v>214</v>
      </c>
      <c r="C20" s="5" t="s">
        <v>215</v>
      </c>
      <c r="D20" s="5" t="s">
        <v>166</v>
      </c>
      <c r="E20" s="5" t="s">
        <v>216</v>
      </c>
      <c r="F20">
        <v>0.92</v>
      </c>
      <c r="G20" s="5" t="s">
        <v>592</v>
      </c>
    </row>
    <row r="21" spans="1:7" x14ac:dyDescent="0.25">
      <c r="A21" s="5" t="s">
        <v>163</v>
      </c>
      <c r="B21" s="5" t="s">
        <v>217</v>
      </c>
      <c r="C21" s="5" t="s">
        <v>218</v>
      </c>
      <c r="D21" s="5" t="s">
        <v>166</v>
      </c>
      <c r="E21" s="5" t="s">
        <v>219</v>
      </c>
      <c r="F21">
        <v>0.94</v>
      </c>
      <c r="G21" s="5" t="s">
        <v>593</v>
      </c>
    </row>
    <row r="22" spans="1:7" x14ac:dyDescent="0.25">
      <c r="A22" s="5" t="s">
        <v>163</v>
      </c>
      <c r="B22" s="5" t="s">
        <v>220</v>
      </c>
      <c r="C22" s="5" t="s">
        <v>221</v>
      </c>
      <c r="D22" s="5" t="s">
        <v>166</v>
      </c>
      <c r="E22" s="5" t="s">
        <v>222</v>
      </c>
      <c r="G22" s="5"/>
    </row>
    <row r="23" spans="1:7" x14ac:dyDescent="0.25">
      <c r="A23" s="5" t="s">
        <v>163</v>
      </c>
      <c r="B23" s="5" t="s">
        <v>223</v>
      </c>
      <c r="C23" s="5" t="s">
        <v>224</v>
      </c>
      <c r="D23" s="5" t="s">
        <v>166</v>
      </c>
      <c r="E23" s="5" t="s">
        <v>225</v>
      </c>
      <c r="G23" s="5"/>
    </row>
    <row r="24" spans="1:7" x14ac:dyDescent="0.25">
      <c r="A24" s="5" t="s">
        <v>163</v>
      </c>
      <c r="B24" s="5" t="s">
        <v>226</v>
      </c>
      <c r="C24" s="5" t="s">
        <v>227</v>
      </c>
      <c r="D24" s="5" t="s">
        <v>166</v>
      </c>
      <c r="E24" s="5" t="s">
        <v>182</v>
      </c>
      <c r="F24">
        <v>0.98</v>
      </c>
      <c r="G24" s="5" t="s">
        <v>594</v>
      </c>
    </row>
    <row r="25" spans="1:7" x14ac:dyDescent="0.25">
      <c r="A25" s="5" t="s">
        <v>163</v>
      </c>
      <c r="B25" s="5" t="s">
        <v>228</v>
      </c>
      <c r="C25" s="5" t="s">
        <v>229</v>
      </c>
      <c r="D25" s="5" t="s">
        <v>166</v>
      </c>
      <c r="E25" s="5" t="s">
        <v>185</v>
      </c>
      <c r="G25" s="5"/>
    </row>
    <row r="26" spans="1:7" x14ac:dyDescent="0.25">
      <c r="A26" s="5" t="s">
        <v>163</v>
      </c>
      <c r="B26" s="5" t="s">
        <v>230</v>
      </c>
      <c r="C26" s="5" t="s">
        <v>231</v>
      </c>
      <c r="D26" s="5" t="s">
        <v>166</v>
      </c>
      <c r="E26" s="5" t="s">
        <v>232</v>
      </c>
      <c r="F26">
        <v>0.9</v>
      </c>
      <c r="G26" s="5" t="s">
        <v>595</v>
      </c>
    </row>
    <row r="27" spans="1:7" x14ac:dyDescent="0.25">
      <c r="A27" s="5" t="s">
        <v>163</v>
      </c>
      <c r="B27" s="5" t="s">
        <v>233</v>
      </c>
      <c r="C27" s="5" t="s">
        <v>234</v>
      </c>
      <c r="D27" s="5" t="s">
        <v>166</v>
      </c>
      <c r="E27" s="5" t="s">
        <v>205</v>
      </c>
      <c r="F27">
        <v>0.9</v>
      </c>
      <c r="G27" s="5" t="s">
        <v>596</v>
      </c>
    </row>
    <row r="28" spans="1:7" x14ac:dyDescent="0.25">
      <c r="A28" s="5" t="s">
        <v>163</v>
      </c>
      <c r="B28" s="5" t="s">
        <v>235</v>
      </c>
      <c r="C28" s="5" t="s">
        <v>236</v>
      </c>
      <c r="D28" s="5" t="s">
        <v>166</v>
      </c>
      <c r="E28" s="5" t="s">
        <v>237</v>
      </c>
      <c r="G28" s="5"/>
    </row>
    <row r="29" spans="1:7" x14ac:dyDescent="0.25">
      <c r="A29" s="5" t="s">
        <v>163</v>
      </c>
      <c r="B29" s="5" t="s">
        <v>238</v>
      </c>
      <c r="C29" s="5" t="s">
        <v>239</v>
      </c>
      <c r="D29" s="5" t="s">
        <v>166</v>
      </c>
      <c r="E29" s="5" t="s">
        <v>205</v>
      </c>
      <c r="F29">
        <v>0.88</v>
      </c>
      <c r="G29" s="5" t="s">
        <v>597</v>
      </c>
    </row>
    <row r="30" spans="1:7" x14ac:dyDescent="0.25">
      <c r="A30" s="5" t="s">
        <v>163</v>
      </c>
      <c r="B30" s="5" t="s">
        <v>240</v>
      </c>
      <c r="C30" s="5" t="s">
        <v>241</v>
      </c>
      <c r="D30" s="5" t="s">
        <v>166</v>
      </c>
      <c r="E30" s="5" t="s">
        <v>242</v>
      </c>
      <c r="F30">
        <v>0.91</v>
      </c>
      <c r="G30" s="5" t="s">
        <v>598</v>
      </c>
    </row>
    <row r="31" spans="1:7" x14ac:dyDescent="0.25">
      <c r="A31" s="5" t="s">
        <v>163</v>
      </c>
      <c r="B31" s="5" t="s">
        <v>243</v>
      </c>
      <c r="C31" s="5" t="s">
        <v>244</v>
      </c>
      <c r="D31" s="5" t="s">
        <v>166</v>
      </c>
      <c r="E31" s="5" t="s">
        <v>245</v>
      </c>
      <c r="G31" s="5"/>
    </row>
    <row r="32" spans="1:7" x14ac:dyDescent="0.25">
      <c r="A32" s="5" t="s">
        <v>246</v>
      </c>
      <c r="B32" s="5" t="s">
        <v>247</v>
      </c>
      <c r="C32" s="5" t="s">
        <v>248</v>
      </c>
      <c r="D32" s="5" t="s">
        <v>166</v>
      </c>
      <c r="E32" s="5" t="s">
        <v>237</v>
      </c>
      <c r="F32">
        <v>0.67</v>
      </c>
      <c r="G32" s="5"/>
    </row>
    <row r="33" spans="1:7" x14ac:dyDescent="0.25">
      <c r="A33" s="5" t="s">
        <v>163</v>
      </c>
      <c r="B33" s="5" t="s">
        <v>249</v>
      </c>
      <c r="C33" s="5" t="s">
        <v>250</v>
      </c>
      <c r="D33" s="5" t="s">
        <v>166</v>
      </c>
      <c r="E33" s="5" t="s">
        <v>185</v>
      </c>
      <c r="G33" s="5"/>
    </row>
    <row r="34" spans="1:7" x14ac:dyDescent="0.25">
      <c r="A34" s="5" t="s">
        <v>174</v>
      </c>
      <c r="B34" s="5" t="s">
        <v>251</v>
      </c>
      <c r="C34" s="5" t="s">
        <v>252</v>
      </c>
      <c r="D34" s="5" t="s">
        <v>166</v>
      </c>
      <c r="E34" s="5" t="s">
        <v>205</v>
      </c>
      <c r="F34">
        <v>0.85</v>
      </c>
      <c r="G34" s="5" t="s">
        <v>599</v>
      </c>
    </row>
    <row r="35" spans="1:7" x14ac:dyDescent="0.25">
      <c r="A35" s="5" t="s">
        <v>163</v>
      </c>
      <c r="B35" s="5" t="s">
        <v>251</v>
      </c>
      <c r="C35" s="5" t="s">
        <v>252</v>
      </c>
      <c r="D35" s="5" t="s">
        <v>166</v>
      </c>
      <c r="E35" s="5" t="s">
        <v>205</v>
      </c>
      <c r="F35">
        <v>0.97</v>
      </c>
      <c r="G35" s="5" t="s">
        <v>600</v>
      </c>
    </row>
    <row r="36" spans="1:7" x14ac:dyDescent="0.25">
      <c r="A36" s="5" t="s">
        <v>163</v>
      </c>
      <c r="B36" s="5" t="s">
        <v>253</v>
      </c>
      <c r="C36" s="5" t="s">
        <v>254</v>
      </c>
      <c r="D36" s="5" t="s">
        <v>166</v>
      </c>
      <c r="E36" s="5" t="s">
        <v>245</v>
      </c>
      <c r="F36">
        <v>0.89</v>
      </c>
      <c r="G36" s="5" t="s">
        <v>584</v>
      </c>
    </row>
    <row r="37" spans="1:7" x14ac:dyDescent="0.25">
      <c r="A37" s="5" t="s">
        <v>163</v>
      </c>
      <c r="B37" s="5" t="s">
        <v>255</v>
      </c>
      <c r="C37" s="5" t="s">
        <v>256</v>
      </c>
      <c r="D37" s="5" t="s">
        <v>166</v>
      </c>
      <c r="E37" s="5" t="s">
        <v>257</v>
      </c>
      <c r="F37">
        <v>0.92</v>
      </c>
      <c r="G37" s="5" t="s">
        <v>592</v>
      </c>
    </row>
    <row r="38" spans="1:7" x14ac:dyDescent="0.25">
      <c r="A38" s="5" t="s">
        <v>163</v>
      </c>
      <c r="B38" s="5" t="s">
        <v>258</v>
      </c>
      <c r="C38" s="5" t="s">
        <v>259</v>
      </c>
      <c r="D38" s="5" t="s">
        <v>166</v>
      </c>
      <c r="E38" s="5" t="s">
        <v>260</v>
      </c>
      <c r="F38">
        <v>0.85</v>
      </c>
      <c r="G38" s="5" t="s">
        <v>592</v>
      </c>
    </row>
    <row r="39" spans="1:7" x14ac:dyDescent="0.25">
      <c r="A39" s="5" t="s">
        <v>246</v>
      </c>
      <c r="B39" s="5" t="s">
        <v>261</v>
      </c>
      <c r="C39" s="5" t="s">
        <v>262</v>
      </c>
      <c r="D39" s="5" t="s">
        <v>166</v>
      </c>
      <c r="E39" s="5" t="s">
        <v>198</v>
      </c>
      <c r="F39">
        <v>0.57999999999999996</v>
      </c>
      <c r="G39" s="5" t="s">
        <v>601</v>
      </c>
    </row>
    <row r="40" spans="1:7" x14ac:dyDescent="0.25">
      <c r="A40" s="5" t="s">
        <v>163</v>
      </c>
      <c r="B40" s="5" t="s">
        <v>263</v>
      </c>
      <c r="C40" s="5" t="s">
        <v>264</v>
      </c>
      <c r="D40" s="5" t="s">
        <v>166</v>
      </c>
      <c r="E40" s="5" t="s">
        <v>185</v>
      </c>
      <c r="F40">
        <v>1</v>
      </c>
      <c r="G40" s="5" t="s">
        <v>582</v>
      </c>
    </row>
    <row r="41" spans="1:7" x14ac:dyDescent="0.25">
      <c r="A41" s="5" t="s">
        <v>174</v>
      </c>
      <c r="B41" s="5" t="s">
        <v>265</v>
      </c>
      <c r="C41" s="5" t="s">
        <v>266</v>
      </c>
      <c r="D41" s="5" t="s">
        <v>166</v>
      </c>
      <c r="E41" s="5" t="s">
        <v>267</v>
      </c>
      <c r="F41">
        <v>0.91</v>
      </c>
      <c r="G41" s="5" t="s">
        <v>593</v>
      </c>
    </row>
    <row r="42" spans="1:7" x14ac:dyDescent="0.25">
      <c r="A42" s="5" t="s">
        <v>163</v>
      </c>
      <c r="B42" s="5" t="s">
        <v>265</v>
      </c>
      <c r="C42" s="5" t="s">
        <v>266</v>
      </c>
      <c r="D42" s="5" t="s">
        <v>166</v>
      </c>
      <c r="E42" s="5" t="s">
        <v>267</v>
      </c>
      <c r="F42">
        <v>0.83</v>
      </c>
      <c r="G42" s="5" t="s">
        <v>593</v>
      </c>
    </row>
    <row r="43" spans="1:7" x14ac:dyDescent="0.25">
      <c r="A43" s="5" t="s">
        <v>163</v>
      </c>
      <c r="B43" s="5" t="s">
        <v>268</v>
      </c>
      <c r="C43" s="5" t="s">
        <v>269</v>
      </c>
      <c r="D43" s="5" t="s">
        <v>166</v>
      </c>
      <c r="E43" s="5" t="s">
        <v>170</v>
      </c>
      <c r="F43">
        <v>0.92</v>
      </c>
      <c r="G43" s="5" t="s">
        <v>598</v>
      </c>
    </row>
    <row r="44" spans="1:7" x14ac:dyDescent="0.25">
      <c r="A44" s="5" t="s">
        <v>163</v>
      </c>
      <c r="B44" s="5" t="s">
        <v>270</v>
      </c>
      <c r="C44" s="5" t="s">
        <v>271</v>
      </c>
      <c r="D44" s="5" t="s">
        <v>166</v>
      </c>
      <c r="E44" s="5" t="s">
        <v>198</v>
      </c>
      <c r="F44">
        <v>0.92</v>
      </c>
      <c r="G44" s="5" t="s">
        <v>602</v>
      </c>
    </row>
    <row r="45" spans="1:7" x14ac:dyDescent="0.25">
      <c r="A45" s="5" t="s">
        <v>163</v>
      </c>
      <c r="B45" s="5" t="s">
        <v>272</v>
      </c>
      <c r="C45" s="5" t="s">
        <v>273</v>
      </c>
      <c r="D45" s="5" t="s">
        <v>166</v>
      </c>
      <c r="E45" s="5" t="s">
        <v>188</v>
      </c>
      <c r="F45">
        <v>0.98</v>
      </c>
      <c r="G45" s="5" t="s">
        <v>603</v>
      </c>
    </row>
    <row r="46" spans="1:7" x14ac:dyDescent="0.25">
      <c r="A46" s="5" t="s">
        <v>163</v>
      </c>
      <c r="B46" s="5" t="s">
        <v>274</v>
      </c>
      <c r="C46" s="5" t="s">
        <v>275</v>
      </c>
      <c r="D46" s="5" t="s">
        <v>166</v>
      </c>
      <c r="E46" s="5" t="s">
        <v>179</v>
      </c>
      <c r="F46">
        <v>1</v>
      </c>
      <c r="G46" s="5"/>
    </row>
    <row r="47" spans="1:7" x14ac:dyDescent="0.25">
      <c r="A47" s="5" t="s">
        <v>163</v>
      </c>
      <c r="B47" s="5" t="s">
        <v>276</v>
      </c>
      <c r="C47" s="5" t="s">
        <v>277</v>
      </c>
      <c r="D47" s="5" t="s">
        <v>166</v>
      </c>
      <c r="E47" s="5" t="s">
        <v>188</v>
      </c>
      <c r="F47">
        <v>0.99</v>
      </c>
      <c r="G47" s="5" t="s">
        <v>596</v>
      </c>
    </row>
    <row r="48" spans="1:7" x14ac:dyDescent="0.25">
      <c r="A48" s="5" t="s">
        <v>278</v>
      </c>
      <c r="B48" s="5" t="s">
        <v>279</v>
      </c>
      <c r="C48" s="5" t="s">
        <v>280</v>
      </c>
      <c r="D48" s="5" t="s">
        <v>166</v>
      </c>
      <c r="E48" s="5" t="s">
        <v>198</v>
      </c>
      <c r="F48">
        <v>0.7</v>
      </c>
      <c r="G48" s="5" t="s">
        <v>599</v>
      </c>
    </row>
    <row r="49" spans="1:7" x14ac:dyDescent="0.25">
      <c r="A49" s="5" t="s">
        <v>163</v>
      </c>
      <c r="B49" s="5" t="s">
        <v>279</v>
      </c>
      <c r="C49" s="5" t="s">
        <v>280</v>
      </c>
      <c r="D49" s="5" t="s">
        <v>166</v>
      </c>
      <c r="E49" s="5" t="s">
        <v>198</v>
      </c>
      <c r="F49">
        <v>0.77</v>
      </c>
      <c r="G49" s="5"/>
    </row>
    <row r="50" spans="1:7" x14ac:dyDescent="0.25">
      <c r="A50" s="5" t="s">
        <v>278</v>
      </c>
      <c r="B50" s="5" t="s">
        <v>281</v>
      </c>
      <c r="C50" s="5" t="s">
        <v>282</v>
      </c>
      <c r="D50" s="5" t="s">
        <v>166</v>
      </c>
      <c r="E50" s="5" t="s">
        <v>237</v>
      </c>
      <c r="F50">
        <v>0.92</v>
      </c>
      <c r="G50" s="5" t="s">
        <v>604</v>
      </c>
    </row>
    <row r="51" spans="1:7" x14ac:dyDescent="0.25">
      <c r="A51" s="5" t="s">
        <v>174</v>
      </c>
      <c r="B51" s="5" t="s">
        <v>283</v>
      </c>
      <c r="C51" s="5" t="s">
        <v>284</v>
      </c>
      <c r="D51" s="5" t="s">
        <v>166</v>
      </c>
      <c r="E51" s="5" t="s">
        <v>285</v>
      </c>
      <c r="F51">
        <v>0.72</v>
      </c>
      <c r="G51" s="5" t="s">
        <v>605</v>
      </c>
    </row>
    <row r="52" spans="1:7" x14ac:dyDescent="0.25">
      <c r="A52" s="5" t="s">
        <v>163</v>
      </c>
      <c r="B52" s="5" t="s">
        <v>286</v>
      </c>
      <c r="C52" s="5" t="s">
        <v>287</v>
      </c>
      <c r="D52" s="5" t="s">
        <v>166</v>
      </c>
      <c r="E52" s="5" t="s">
        <v>198</v>
      </c>
      <c r="F52">
        <v>0.98</v>
      </c>
      <c r="G52" s="5" t="s">
        <v>593</v>
      </c>
    </row>
    <row r="53" spans="1:7" x14ac:dyDescent="0.25">
      <c r="A53" s="5" t="s">
        <v>163</v>
      </c>
      <c r="B53" s="5" t="s">
        <v>288</v>
      </c>
      <c r="C53" s="5" t="s">
        <v>289</v>
      </c>
      <c r="D53" s="5" t="s">
        <v>166</v>
      </c>
      <c r="E53" s="5" t="s">
        <v>260</v>
      </c>
      <c r="F53">
        <v>0.97</v>
      </c>
      <c r="G53" s="5" t="s">
        <v>592</v>
      </c>
    </row>
    <row r="54" spans="1:7" x14ac:dyDescent="0.25">
      <c r="A54" s="5" t="s">
        <v>163</v>
      </c>
      <c r="B54" s="5" t="s">
        <v>290</v>
      </c>
      <c r="C54" s="5" t="s">
        <v>291</v>
      </c>
      <c r="D54" s="5" t="s">
        <v>166</v>
      </c>
      <c r="E54" s="5" t="s">
        <v>179</v>
      </c>
      <c r="F54">
        <v>0.86</v>
      </c>
      <c r="G54" s="5" t="s">
        <v>597</v>
      </c>
    </row>
    <row r="55" spans="1:7" x14ac:dyDescent="0.25">
      <c r="A55" s="5" t="s">
        <v>163</v>
      </c>
      <c r="B55" s="5" t="s">
        <v>292</v>
      </c>
      <c r="C55" s="5" t="s">
        <v>293</v>
      </c>
      <c r="D55" s="5" t="s">
        <v>166</v>
      </c>
      <c r="E55" s="5" t="s">
        <v>225</v>
      </c>
      <c r="F55">
        <v>0.78</v>
      </c>
      <c r="G55" s="5" t="s">
        <v>580</v>
      </c>
    </row>
    <row r="56" spans="1:7" x14ac:dyDescent="0.25">
      <c r="A56" s="5" t="s">
        <v>163</v>
      </c>
      <c r="B56" s="5" t="s">
        <v>294</v>
      </c>
      <c r="C56" s="5" t="s">
        <v>295</v>
      </c>
      <c r="D56" s="5" t="s">
        <v>166</v>
      </c>
      <c r="E56" s="5" t="s">
        <v>260</v>
      </c>
      <c r="F56">
        <v>0.42</v>
      </c>
      <c r="G56" s="5"/>
    </row>
    <row r="57" spans="1:7" x14ac:dyDescent="0.25">
      <c r="A57" s="5" t="s">
        <v>163</v>
      </c>
      <c r="B57" s="5" t="s">
        <v>296</v>
      </c>
      <c r="C57" s="5" t="s">
        <v>297</v>
      </c>
      <c r="D57" s="5" t="s">
        <v>166</v>
      </c>
      <c r="E57" s="5" t="s">
        <v>182</v>
      </c>
      <c r="F57">
        <v>0.67</v>
      </c>
      <c r="G57" s="5" t="s">
        <v>600</v>
      </c>
    </row>
    <row r="58" spans="1:7" x14ac:dyDescent="0.25">
      <c r="A58" s="5" t="s">
        <v>163</v>
      </c>
      <c r="B58" s="5" t="s">
        <v>298</v>
      </c>
      <c r="C58" s="5" t="s">
        <v>299</v>
      </c>
      <c r="D58" s="5" t="s">
        <v>166</v>
      </c>
      <c r="E58" s="5" t="s">
        <v>300</v>
      </c>
      <c r="F58">
        <v>0.94</v>
      </c>
      <c r="G58" s="5" t="s">
        <v>579</v>
      </c>
    </row>
    <row r="59" spans="1:7" x14ac:dyDescent="0.25">
      <c r="A59" s="5" t="s">
        <v>163</v>
      </c>
      <c r="B59" s="5" t="s">
        <v>301</v>
      </c>
      <c r="C59" s="5" t="s">
        <v>302</v>
      </c>
      <c r="D59" s="5" t="s">
        <v>166</v>
      </c>
      <c r="E59" s="5" t="s">
        <v>179</v>
      </c>
      <c r="F59">
        <v>0.72</v>
      </c>
      <c r="G59" s="5" t="s">
        <v>588</v>
      </c>
    </row>
    <row r="60" spans="1:7" x14ac:dyDescent="0.25">
      <c r="A60" s="5" t="s">
        <v>174</v>
      </c>
      <c r="B60" s="5" t="s">
        <v>303</v>
      </c>
      <c r="C60" s="5" t="s">
        <v>304</v>
      </c>
      <c r="D60" s="5" t="s">
        <v>166</v>
      </c>
      <c r="E60" s="5" t="s">
        <v>237</v>
      </c>
      <c r="F60">
        <v>0.9</v>
      </c>
      <c r="G60" s="5" t="s">
        <v>606</v>
      </c>
    </row>
    <row r="61" spans="1:7" x14ac:dyDescent="0.25">
      <c r="A61" s="5" t="s">
        <v>246</v>
      </c>
      <c r="B61" s="5" t="s">
        <v>305</v>
      </c>
      <c r="C61" s="5" t="s">
        <v>248</v>
      </c>
      <c r="D61" s="5" t="s">
        <v>166</v>
      </c>
      <c r="E61" s="5"/>
      <c r="G61" s="5"/>
    </row>
    <row r="62" spans="1:7" x14ac:dyDescent="0.25">
      <c r="A62" s="5" t="s">
        <v>163</v>
      </c>
      <c r="B62" s="5" t="s">
        <v>306</v>
      </c>
      <c r="C62" s="5" t="s">
        <v>307</v>
      </c>
      <c r="D62" s="5" t="s">
        <v>166</v>
      </c>
      <c r="E62" s="5" t="s">
        <v>308</v>
      </c>
      <c r="F62">
        <v>0.44</v>
      </c>
      <c r="G62" s="5" t="s">
        <v>583</v>
      </c>
    </row>
    <row r="63" spans="1:7" x14ac:dyDescent="0.25">
      <c r="A63" s="5" t="s">
        <v>174</v>
      </c>
      <c r="B63" s="5" t="s">
        <v>309</v>
      </c>
      <c r="C63" s="5" t="s">
        <v>310</v>
      </c>
      <c r="D63" s="5" t="s">
        <v>166</v>
      </c>
      <c r="E63" s="5" t="s">
        <v>211</v>
      </c>
      <c r="F63">
        <v>0.91</v>
      </c>
      <c r="G63" s="5" t="s">
        <v>607</v>
      </c>
    </row>
    <row r="64" spans="1:7" x14ac:dyDescent="0.25">
      <c r="A64" s="5" t="s">
        <v>163</v>
      </c>
      <c r="B64" s="5" t="s">
        <v>311</v>
      </c>
      <c r="C64" s="5" t="s">
        <v>312</v>
      </c>
      <c r="D64" s="5" t="s">
        <v>166</v>
      </c>
      <c r="E64" s="5" t="s">
        <v>313</v>
      </c>
      <c r="F64">
        <v>0.88</v>
      </c>
      <c r="G64" s="5" t="s">
        <v>583</v>
      </c>
    </row>
    <row r="65" spans="1:7" x14ac:dyDescent="0.25">
      <c r="A65" s="5" t="s">
        <v>163</v>
      </c>
      <c r="B65" s="5" t="s">
        <v>314</v>
      </c>
      <c r="C65" s="5" t="s">
        <v>315</v>
      </c>
      <c r="D65" s="5" t="s">
        <v>166</v>
      </c>
      <c r="E65" s="5" t="s">
        <v>219</v>
      </c>
      <c r="G65" s="5"/>
    </row>
    <row r="66" spans="1:7" x14ac:dyDescent="0.25">
      <c r="A66" s="5" t="s">
        <v>163</v>
      </c>
      <c r="B66" s="5" t="s">
        <v>316</v>
      </c>
      <c r="C66" s="5" t="s">
        <v>317</v>
      </c>
      <c r="D66" s="5" t="s">
        <v>166</v>
      </c>
      <c r="E66" s="5" t="s">
        <v>225</v>
      </c>
      <c r="F66">
        <v>0.98</v>
      </c>
      <c r="G66" s="5" t="s">
        <v>608</v>
      </c>
    </row>
    <row r="67" spans="1:7" x14ac:dyDescent="0.25">
      <c r="A67" s="5" t="s">
        <v>163</v>
      </c>
      <c r="B67" s="5" t="s">
        <v>318</v>
      </c>
      <c r="C67" s="5" t="s">
        <v>319</v>
      </c>
      <c r="D67" s="5" t="s">
        <v>166</v>
      </c>
      <c r="E67" s="5" t="s">
        <v>198</v>
      </c>
      <c r="F67">
        <v>0.99</v>
      </c>
      <c r="G67" s="5" t="s">
        <v>593</v>
      </c>
    </row>
    <row r="68" spans="1:7" x14ac:dyDescent="0.25">
      <c r="A68" s="5" t="s">
        <v>246</v>
      </c>
      <c r="B68" s="5" t="s">
        <v>320</v>
      </c>
      <c r="C68" s="5" t="s">
        <v>321</v>
      </c>
      <c r="D68" s="5" t="s">
        <v>166</v>
      </c>
      <c r="E68" s="5" t="s">
        <v>219</v>
      </c>
      <c r="F68">
        <v>0.7</v>
      </c>
      <c r="G68" s="5" t="s">
        <v>605</v>
      </c>
    </row>
    <row r="69" spans="1:7" x14ac:dyDescent="0.25">
      <c r="A69" s="5" t="s">
        <v>163</v>
      </c>
      <c r="B69" s="5" t="s">
        <v>322</v>
      </c>
      <c r="C69" s="5" t="s">
        <v>323</v>
      </c>
      <c r="D69" s="5" t="s">
        <v>166</v>
      </c>
      <c r="E69" s="5" t="s">
        <v>324</v>
      </c>
      <c r="F69">
        <v>0.48</v>
      </c>
      <c r="G69" s="5" t="s">
        <v>609</v>
      </c>
    </row>
    <row r="70" spans="1:7" x14ac:dyDescent="0.25">
      <c r="A70" s="5" t="s">
        <v>174</v>
      </c>
      <c r="B70" s="5" t="s">
        <v>325</v>
      </c>
      <c r="C70" s="5" t="s">
        <v>326</v>
      </c>
      <c r="D70" s="5" t="s">
        <v>166</v>
      </c>
      <c r="E70" s="5" t="s">
        <v>170</v>
      </c>
      <c r="F70">
        <v>0.91</v>
      </c>
      <c r="G70" s="5" t="s">
        <v>605</v>
      </c>
    </row>
    <row r="71" spans="1:7" x14ac:dyDescent="0.25">
      <c r="A71" s="5" t="s">
        <v>163</v>
      </c>
      <c r="B71" s="5" t="s">
        <v>327</v>
      </c>
      <c r="C71" s="5" t="s">
        <v>328</v>
      </c>
      <c r="D71" s="5" t="s">
        <v>166</v>
      </c>
      <c r="E71" s="5" t="s">
        <v>182</v>
      </c>
      <c r="F71">
        <v>0.56000000000000005</v>
      </c>
      <c r="G71" s="5"/>
    </row>
    <row r="72" spans="1:7" x14ac:dyDescent="0.25">
      <c r="A72" s="5" t="s">
        <v>163</v>
      </c>
      <c r="B72" s="5" t="s">
        <v>329</v>
      </c>
      <c r="C72" s="5" t="s">
        <v>330</v>
      </c>
      <c r="D72" s="5" t="s">
        <v>166</v>
      </c>
      <c r="E72" s="5" t="s">
        <v>324</v>
      </c>
      <c r="F72">
        <v>0.82</v>
      </c>
      <c r="G72" s="5"/>
    </row>
    <row r="73" spans="1:7" x14ac:dyDescent="0.25">
      <c r="A73" s="5" t="s">
        <v>163</v>
      </c>
      <c r="B73" s="5" t="s">
        <v>331</v>
      </c>
      <c r="C73" s="5" t="s">
        <v>332</v>
      </c>
      <c r="D73" s="5" t="s">
        <v>166</v>
      </c>
      <c r="E73" s="5" t="s">
        <v>257</v>
      </c>
      <c r="G73" s="5"/>
    </row>
    <row r="74" spans="1:7" x14ac:dyDescent="0.25">
      <c r="A74" s="5" t="s">
        <v>163</v>
      </c>
      <c r="B74" s="5" t="s">
        <v>333</v>
      </c>
      <c r="C74" s="5" t="s">
        <v>334</v>
      </c>
      <c r="D74" s="5" t="s">
        <v>166</v>
      </c>
      <c r="E74" s="5" t="s">
        <v>188</v>
      </c>
      <c r="G74" s="5"/>
    </row>
    <row r="75" spans="1:7" x14ac:dyDescent="0.25">
      <c r="A75" s="5" t="s">
        <v>163</v>
      </c>
      <c r="B75" s="5" t="s">
        <v>335</v>
      </c>
      <c r="C75" s="5" t="s">
        <v>336</v>
      </c>
      <c r="D75" s="5" t="s">
        <v>166</v>
      </c>
      <c r="E75" s="5" t="s">
        <v>267</v>
      </c>
      <c r="F75">
        <v>0.85</v>
      </c>
      <c r="G75" s="5" t="s">
        <v>594</v>
      </c>
    </row>
    <row r="76" spans="1:7" x14ac:dyDescent="0.25">
      <c r="A76" s="5" t="s">
        <v>163</v>
      </c>
      <c r="B76" s="5" t="s">
        <v>337</v>
      </c>
      <c r="C76" s="5" t="s">
        <v>338</v>
      </c>
      <c r="D76" s="5" t="s">
        <v>166</v>
      </c>
      <c r="E76" s="5" t="s">
        <v>300</v>
      </c>
      <c r="F76">
        <v>0.69</v>
      </c>
      <c r="G76" s="5" t="s">
        <v>594</v>
      </c>
    </row>
    <row r="77" spans="1:7" x14ac:dyDescent="0.25">
      <c r="A77" s="5" t="s">
        <v>163</v>
      </c>
      <c r="B77" s="5" t="s">
        <v>339</v>
      </c>
      <c r="C77" s="5" t="s">
        <v>340</v>
      </c>
      <c r="D77" s="5" t="s">
        <v>166</v>
      </c>
      <c r="E77" s="5" t="s">
        <v>179</v>
      </c>
      <c r="F77">
        <v>0.98</v>
      </c>
      <c r="G77" s="5" t="s">
        <v>594</v>
      </c>
    </row>
    <row r="78" spans="1:7" x14ac:dyDescent="0.25">
      <c r="A78" s="5" t="s">
        <v>163</v>
      </c>
      <c r="B78" s="5" t="s">
        <v>341</v>
      </c>
      <c r="C78" s="5" t="s">
        <v>342</v>
      </c>
      <c r="D78" s="5" t="s">
        <v>166</v>
      </c>
      <c r="E78" s="5" t="s">
        <v>343</v>
      </c>
      <c r="F78">
        <v>0.97</v>
      </c>
      <c r="G78" s="5"/>
    </row>
    <row r="79" spans="1:7" x14ac:dyDescent="0.25">
      <c r="A79" s="5" t="s">
        <v>163</v>
      </c>
      <c r="B79" s="5" t="s">
        <v>344</v>
      </c>
      <c r="C79" s="5" t="s">
        <v>345</v>
      </c>
      <c r="D79" s="5" t="s">
        <v>166</v>
      </c>
      <c r="E79" s="5" t="s">
        <v>346</v>
      </c>
      <c r="F79">
        <v>0.55000000000000004</v>
      </c>
      <c r="G79" s="5"/>
    </row>
    <row r="80" spans="1:7" x14ac:dyDescent="0.25">
      <c r="A80" s="5" t="s">
        <v>163</v>
      </c>
      <c r="B80" s="5" t="s">
        <v>347</v>
      </c>
      <c r="C80" s="5" t="s">
        <v>348</v>
      </c>
      <c r="D80" s="5" t="s">
        <v>166</v>
      </c>
      <c r="E80" s="5" t="s">
        <v>237</v>
      </c>
      <c r="F80">
        <v>0.84</v>
      </c>
      <c r="G80" s="5" t="s">
        <v>610</v>
      </c>
    </row>
    <row r="81" spans="1:7" x14ac:dyDescent="0.25">
      <c r="A81" s="5" t="s">
        <v>163</v>
      </c>
      <c r="B81" s="5" t="s">
        <v>349</v>
      </c>
      <c r="C81" s="5" t="s">
        <v>350</v>
      </c>
      <c r="D81" s="5" t="s">
        <v>166</v>
      </c>
      <c r="E81" s="5" t="s">
        <v>343</v>
      </c>
      <c r="F81">
        <v>0.93</v>
      </c>
      <c r="G81" s="5" t="s">
        <v>580</v>
      </c>
    </row>
    <row r="82" spans="1:7" x14ac:dyDescent="0.25">
      <c r="A82" s="5" t="s">
        <v>163</v>
      </c>
      <c r="B82" s="5" t="s">
        <v>351</v>
      </c>
      <c r="C82" s="5" t="s">
        <v>352</v>
      </c>
      <c r="D82" s="5" t="s">
        <v>166</v>
      </c>
      <c r="E82" s="5" t="s">
        <v>353</v>
      </c>
      <c r="G82" s="5"/>
    </row>
    <row r="83" spans="1:7" x14ac:dyDescent="0.25">
      <c r="A83" s="5" t="s">
        <v>174</v>
      </c>
      <c r="B83" s="5" t="s">
        <v>354</v>
      </c>
      <c r="C83" s="5" t="s">
        <v>355</v>
      </c>
      <c r="D83" s="5" t="s">
        <v>166</v>
      </c>
      <c r="E83" s="5" t="s">
        <v>356</v>
      </c>
      <c r="F83">
        <v>0.53</v>
      </c>
      <c r="G83" s="5" t="s">
        <v>611</v>
      </c>
    </row>
    <row r="84" spans="1:7" x14ac:dyDescent="0.25">
      <c r="A84" s="5" t="s">
        <v>163</v>
      </c>
      <c r="B84" s="5" t="s">
        <v>357</v>
      </c>
      <c r="C84" s="5" t="s">
        <v>358</v>
      </c>
      <c r="D84" s="5" t="s">
        <v>166</v>
      </c>
      <c r="E84" s="5" t="s">
        <v>179</v>
      </c>
      <c r="F84">
        <v>0.73</v>
      </c>
      <c r="G84" s="5" t="s">
        <v>612</v>
      </c>
    </row>
    <row r="85" spans="1:7" x14ac:dyDescent="0.25">
      <c r="A85" s="5" t="s">
        <v>163</v>
      </c>
      <c r="B85" s="5" t="s">
        <v>359</v>
      </c>
      <c r="C85" s="5" t="s">
        <v>360</v>
      </c>
      <c r="D85" s="5" t="s">
        <v>166</v>
      </c>
      <c r="E85" s="5" t="s">
        <v>285</v>
      </c>
      <c r="F85">
        <v>0.83</v>
      </c>
      <c r="G85" s="5"/>
    </row>
    <row r="86" spans="1:7" x14ac:dyDescent="0.25">
      <c r="A86" s="5" t="s">
        <v>163</v>
      </c>
      <c r="B86" s="5" t="s">
        <v>361</v>
      </c>
      <c r="C86" s="5" t="s">
        <v>362</v>
      </c>
      <c r="D86" s="5" t="s">
        <v>166</v>
      </c>
      <c r="E86" s="5" t="s">
        <v>185</v>
      </c>
      <c r="F86">
        <v>0.99</v>
      </c>
      <c r="G86" s="5" t="s">
        <v>582</v>
      </c>
    </row>
    <row r="87" spans="1:7" x14ac:dyDescent="0.25">
      <c r="A87" s="5" t="s">
        <v>163</v>
      </c>
      <c r="B87" s="5" t="s">
        <v>363</v>
      </c>
      <c r="C87" s="5" t="s">
        <v>364</v>
      </c>
      <c r="D87" s="5" t="s">
        <v>166</v>
      </c>
      <c r="E87" s="5" t="s">
        <v>343</v>
      </c>
      <c r="F87">
        <v>0.94</v>
      </c>
      <c r="G87" s="5" t="s">
        <v>613</v>
      </c>
    </row>
    <row r="88" spans="1:7" x14ac:dyDescent="0.25">
      <c r="A88" s="5" t="s">
        <v>163</v>
      </c>
      <c r="B88" s="5" t="s">
        <v>365</v>
      </c>
      <c r="C88" s="5" t="s">
        <v>366</v>
      </c>
      <c r="D88" s="5" t="s">
        <v>166</v>
      </c>
      <c r="E88" s="5" t="s">
        <v>170</v>
      </c>
      <c r="F88">
        <v>0.97</v>
      </c>
      <c r="G88" s="5" t="s">
        <v>579</v>
      </c>
    </row>
    <row r="89" spans="1:7" x14ac:dyDescent="0.25">
      <c r="A89" s="5" t="s">
        <v>163</v>
      </c>
      <c r="B89" s="5" t="s">
        <v>367</v>
      </c>
      <c r="C89" s="5" t="s">
        <v>368</v>
      </c>
      <c r="D89" s="5" t="s">
        <v>166</v>
      </c>
      <c r="E89" s="5" t="s">
        <v>225</v>
      </c>
      <c r="F89">
        <v>0.88</v>
      </c>
      <c r="G89" s="5" t="s">
        <v>580</v>
      </c>
    </row>
    <row r="90" spans="1:7" x14ac:dyDescent="0.25">
      <c r="A90" s="5" t="s">
        <v>163</v>
      </c>
      <c r="B90" s="5" t="s">
        <v>369</v>
      </c>
      <c r="C90" s="5" t="s">
        <v>370</v>
      </c>
      <c r="D90" s="5" t="s">
        <v>166</v>
      </c>
      <c r="E90" s="5" t="s">
        <v>179</v>
      </c>
      <c r="F90">
        <v>0.97</v>
      </c>
      <c r="G90" s="5" t="s">
        <v>583</v>
      </c>
    </row>
    <row r="91" spans="1:7" x14ac:dyDescent="0.25">
      <c r="A91" s="5" t="s">
        <v>163</v>
      </c>
      <c r="B91" s="5" t="s">
        <v>371</v>
      </c>
      <c r="C91" s="5" t="s">
        <v>372</v>
      </c>
      <c r="D91" s="5" t="s">
        <v>166</v>
      </c>
      <c r="E91" s="5" t="s">
        <v>285</v>
      </c>
      <c r="F91">
        <v>0.97</v>
      </c>
      <c r="G91" s="5" t="s">
        <v>579</v>
      </c>
    </row>
    <row r="92" spans="1:7" x14ac:dyDescent="0.25">
      <c r="A92" s="5" t="s">
        <v>163</v>
      </c>
      <c r="B92" s="5" t="s">
        <v>373</v>
      </c>
      <c r="C92" s="5" t="s">
        <v>374</v>
      </c>
      <c r="D92" s="5" t="s">
        <v>166</v>
      </c>
      <c r="E92" s="5" t="s">
        <v>375</v>
      </c>
      <c r="F92">
        <v>0.97</v>
      </c>
      <c r="G92" s="5" t="s">
        <v>614</v>
      </c>
    </row>
    <row r="93" spans="1:7" x14ac:dyDescent="0.25">
      <c r="A93" s="5" t="s">
        <v>163</v>
      </c>
      <c r="B93" s="5" t="s">
        <v>376</v>
      </c>
      <c r="C93" s="5" t="s">
        <v>377</v>
      </c>
      <c r="D93" s="5" t="s">
        <v>166</v>
      </c>
      <c r="E93" s="5" t="s">
        <v>198</v>
      </c>
      <c r="F93">
        <v>0.99</v>
      </c>
      <c r="G93" s="5" t="s">
        <v>586</v>
      </c>
    </row>
    <row r="94" spans="1:7" x14ac:dyDescent="0.25">
      <c r="A94" s="5" t="s">
        <v>378</v>
      </c>
      <c r="B94" s="5" t="s">
        <v>379</v>
      </c>
      <c r="C94" s="5" t="s">
        <v>380</v>
      </c>
      <c r="D94" s="5" t="s">
        <v>166</v>
      </c>
      <c r="E94" s="5" t="s">
        <v>188</v>
      </c>
      <c r="F94">
        <v>0.22</v>
      </c>
      <c r="G94" s="5"/>
    </row>
    <row r="95" spans="1:7" x14ac:dyDescent="0.25">
      <c r="A95" s="5" t="s">
        <v>163</v>
      </c>
      <c r="B95" s="5" t="s">
        <v>381</v>
      </c>
      <c r="C95" s="5" t="s">
        <v>382</v>
      </c>
      <c r="D95" s="5" t="s">
        <v>166</v>
      </c>
      <c r="E95" s="5" t="s">
        <v>222</v>
      </c>
      <c r="F95">
        <v>0.89</v>
      </c>
      <c r="G95" s="5" t="s">
        <v>603</v>
      </c>
    </row>
    <row r="96" spans="1:7" x14ac:dyDescent="0.25">
      <c r="A96" s="5" t="s">
        <v>174</v>
      </c>
      <c r="B96" s="5" t="s">
        <v>383</v>
      </c>
      <c r="C96" s="5" t="s">
        <v>384</v>
      </c>
      <c r="D96" s="5" t="s">
        <v>166</v>
      </c>
      <c r="E96" s="5" t="s">
        <v>170</v>
      </c>
      <c r="F96">
        <v>0.84</v>
      </c>
      <c r="G96" s="5" t="s">
        <v>615</v>
      </c>
    </row>
    <row r="97" spans="1:7" x14ac:dyDescent="0.25">
      <c r="A97" s="5" t="s">
        <v>163</v>
      </c>
      <c r="B97" s="5" t="s">
        <v>385</v>
      </c>
      <c r="C97" s="5" t="s">
        <v>386</v>
      </c>
      <c r="D97" s="5" t="s">
        <v>166</v>
      </c>
      <c r="E97" s="5" t="s">
        <v>219</v>
      </c>
      <c r="F97">
        <v>0.86</v>
      </c>
      <c r="G97" s="5" t="s">
        <v>579</v>
      </c>
    </row>
    <row r="98" spans="1:7" x14ac:dyDescent="0.25">
      <c r="A98" s="5" t="s">
        <v>163</v>
      </c>
      <c r="B98" s="5" t="s">
        <v>387</v>
      </c>
      <c r="C98" s="5" t="s">
        <v>388</v>
      </c>
      <c r="D98" s="5" t="s">
        <v>166</v>
      </c>
      <c r="E98" s="5" t="s">
        <v>389</v>
      </c>
      <c r="G98" s="5"/>
    </row>
    <row r="99" spans="1:7" x14ac:dyDescent="0.25">
      <c r="A99" s="5" t="s">
        <v>163</v>
      </c>
      <c r="B99" s="5" t="s">
        <v>390</v>
      </c>
      <c r="C99" s="5" t="s">
        <v>391</v>
      </c>
      <c r="D99" s="5" t="s">
        <v>166</v>
      </c>
      <c r="E99" s="5" t="s">
        <v>392</v>
      </c>
      <c r="F99">
        <v>0.93</v>
      </c>
      <c r="G99" s="5" t="s">
        <v>603</v>
      </c>
    </row>
    <row r="100" spans="1:7" x14ac:dyDescent="0.25">
      <c r="A100" s="5" t="s">
        <v>163</v>
      </c>
      <c r="B100" s="5" t="s">
        <v>393</v>
      </c>
      <c r="C100" s="5" t="s">
        <v>394</v>
      </c>
      <c r="D100" s="5" t="s">
        <v>166</v>
      </c>
      <c r="E100" s="5" t="s">
        <v>395</v>
      </c>
      <c r="G100" s="5"/>
    </row>
    <row r="101" spans="1:7" x14ac:dyDescent="0.25">
      <c r="A101" s="5" t="s">
        <v>163</v>
      </c>
      <c r="B101" s="5" t="s">
        <v>396</v>
      </c>
      <c r="C101" s="5" t="s">
        <v>397</v>
      </c>
      <c r="D101" s="5" t="s">
        <v>166</v>
      </c>
      <c r="E101" s="5" t="s">
        <v>225</v>
      </c>
      <c r="F101">
        <v>0.93</v>
      </c>
      <c r="G101" s="5"/>
    </row>
    <row r="102" spans="1:7" x14ac:dyDescent="0.25">
      <c r="A102" s="5" t="s">
        <v>163</v>
      </c>
      <c r="B102" s="5" t="s">
        <v>398</v>
      </c>
      <c r="C102" s="5" t="s">
        <v>399</v>
      </c>
      <c r="D102" s="5" t="s">
        <v>166</v>
      </c>
      <c r="E102" s="5" t="s">
        <v>185</v>
      </c>
      <c r="F102">
        <v>0.98</v>
      </c>
      <c r="G102" s="5" t="s">
        <v>614</v>
      </c>
    </row>
    <row r="103" spans="1:7" x14ac:dyDescent="0.25">
      <c r="A103" s="5" t="s">
        <v>163</v>
      </c>
      <c r="B103" s="5" t="s">
        <v>400</v>
      </c>
      <c r="C103" s="5" t="s">
        <v>401</v>
      </c>
      <c r="D103" s="5" t="s">
        <v>166</v>
      </c>
      <c r="E103" s="5" t="s">
        <v>167</v>
      </c>
      <c r="F103">
        <v>0.86</v>
      </c>
      <c r="G103" s="5" t="s">
        <v>592</v>
      </c>
    </row>
    <row r="104" spans="1:7" x14ac:dyDescent="0.25">
      <c r="A104" s="5" t="s">
        <v>163</v>
      </c>
      <c r="B104" s="5" t="s">
        <v>402</v>
      </c>
      <c r="C104" s="5" t="s">
        <v>403</v>
      </c>
      <c r="D104" s="5" t="s">
        <v>166</v>
      </c>
      <c r="E104" s="5" t="s">
        <v>260</v>
      </c>
      <c r="F104">
        <v>0.39</v>
      </c>
      <c r="G104" s="5" t="s">
        <v>616</v>
      </c>
    </row>
    <row r="105" spans="1:7" x14ac:dyDescent="0.25">
      <c r="A105" s="5" t="s">
        <v>174</v>
      </c>
      <c r="B105" s="5" t="s">
        <v>404</v>
      </c>
      <c r="C105" s="5" t="s">
        <v>405</v>
      </c>
      <c r="D105" s="5" t="s">
        <v>166</v>
      </c>
      <c r="E105" s="5" t="s">
        <v>285</v>
      </c>
      <c r="F105">
        <v>0.92</v>
      </c>
      <c r="G105" s="5" t="s">
        <v>617</v>
      </c>
    </row>
    <row r="106" spans="1:7" x14ac:dyDescent="0.25">
      <c r="A106" s="5" t="s">
        <v>163</v>
      </c>
      <c r="B106" s="5" t="s">
        <v>406</v>
      </c>
      <c r="C106" s="5" t="s">
        <v>407</v>
      </c>
      <c r="D106" s="5" t="s">
        <v>166</v>
      </c>
      <c r="E106" s="5" t="s">
        <v>343</v>
      </c>
      <c r="F106">
        <v>0.82</v>
      </c>
      <c r="G106" s="5"/>
    </row>
    <row r="107" spans="1:7" x14ac:dyDescent="0.25">
      <c r="A107" s="5" t="s">
        <v>163</v>
      </c>
      <c r="B107" s="5" t="s">
        <v>408</v>
      </c>
      <c r="C107" s="5" t="s">
        <v>409</v>
      </c>
      <c r="D107" s="5" t="s">
        <v>166</v>
      </c>
      <c r="E107" s="5" t="s">
        <v>179</v>
      </c>
      <c r="F107">
        <v>0.98</v>
      </c>
      <c r="G107" s="5" t="s">
        <v>618</v>
      </c>
    </row>
    <row r="108" spans="1:7" x14ac:dyDescent="0.25">
      <c r="A108" s="5" t="s">
        <v>163</v>
      </c>
      <c r="B108" s="5" t="s">
        <v>410</v>
      </c>
      <c r="C108" s="5" t="s">
        <v>411</v>
      </c>
      <c r="D108" s="5" t="s">
        <v>166</v>
      </c>
      <c r="E108" s="5" t="s">
        <v>225</v>
      </c>
      <c r="F108">
        <v>0.76</v>
      </c>
      <c r="G108" s="5"/>
    </row>
    <row r="109" spans="1:7" x14ac:dyDescent="0.25">
      <c r="A109" s="5" t="s">
        <v>163</v>
      </c>
      <c r="B109" s="5" t="s">
        <v>412</v>
      </c>
      <c r="C109" s="5" t="s">
        <v>413</v>
      </c>
      <c r="D109" s="5" t="s">
        <v>166</v>
      </c>
      <c r="E109" s="5" t="s">
        <v>285</v>
      </c>
      <c r="G109" s="5"/>
    </row>
    <row r="110" spans="1:7" x14ac:dyDescent="0.25">
      <c r="A110" s="5" t="s">
        <v>163</v>
      </c>
      <c r="B110" s="5" t="s">
        <v>414</v>
      </c>
      <c r="C110" s="5" t="s">
        <v>415</v>
      </c>
      <c r="D110" s="5" t="s">
        <v>166</v>
      </c>
      <c r="E110" s="5" t="s">
        <v>222</v>
      </c>
      <c r="G110" s="5"/>
    </row>
    <row r="111" spans="1:7" x14ac:dyDescent="0.25">
      <c r="A111" s="5" t="s">
        <v>163</v>
      </c>
      <c r="B111" s="5" t="s">
        <v>416</v>
      </c>
      <c r="C111" s="5" t="s">
        <v>417</v>
      </c>
      <c r="D111" s="5" t="s">
        <v>166</v>
      </c>
      <c r="E111" s="5" t="s">
        <v>208</v>
      </c>
      <c r="G111" s="5"/>
    </row>
    <row r="112" spans="1:7" x14ac:dyDescent="0.25">
      <c r="A112" s="5" t="s">
        <v>163</v>
      </c>
      <c r="B112" s="5" t="s">
        <v>418</v>
      </c>
      <c r="C112" s="5" t="s">
        <v>419</v>
      </c>
      <c r="D112" s="5" t="s">
        <v>166</v>
      </c>
      <c r="E112" s="5" t="s">
        <v>222</v>
      </c>
      <c r="F112">
        <v>0.9</v>
      </c>
      <c r="G112" s="5" t="s">
        <v>619</v>
      </c>
    </row>
    <row r="113" spans="1:7" x14ac:dyDescent="0.25">
      <c r="A113" s="5" t="s">
        <v>163</v>
      </c>
      <c r="B113" s="5" t="s">
        <v>420</v>
      </c>
      <c r="C113" s="5" t="s">
        <v>421</v>
      </c>
      <c r="D113" s="5" t="s">
        <v>166</v>
      </c>
      <c r="E113" s="5" t="s">
        <v>198</v>
      </c>
      <c r="F113">
        <v>0.88</v>
      </c>
      <c r="G113" s="5" t="s">
        <v>618</v>
      </c>
    </row>
    <row r="114" spans="1:7" x14ac:dyDescent="0.25">
      <c r="A114" s="5" t="s">
        <v>163</v>
      </c>
      <c r="B114" s="5" t="s">
        <v>422</v>
      </c>
      <c r="C114" s="5" t="s">
        <v>423</v>
      </c>
      <c r="D114" s="5" t="s">
        <v>166</v>
      </c>
      <c r="E114" s="5" t="s">
        <v>188</v>
      </c>
      <c r="F114">
        <v>0.97</v>
      </c>
      <c r="G114" s="5" t="s">
        <v>588</v>
      </c>
    </row>
    <row r="115" spans="1:7" x14ac:dyDescent="0.25">
      <c r="A115" s="5" t="s">
        <v>163</v>
      </c>
      <c r="B115" s="5" t="s">
        <v>424</v>
      </c>
      <c r="C115" s="5" t="s">
        <v>425</v>
      </c>
      <c r="D115" s="5" t="s">
        <v>166</v>
      </c>
      <c r="E115" s="5" t="s">
        <v>237</v>
      </c>
      <c r="F115">
        <v>0.82</v>
      </c>
      <c r="G115" s="5" t="s">
        <v>586</v>
      </c>
    </row>
    <row r="116" spans="1:7" x14ac:dyDescent="0.25">
      <c r="A116" s="5" t="s">
        <v>163</v>
      </c>
      <c r="B116" s="5" t="s">
        <v>426</v>
      </c>
      <c r="C116" s="5" t="s">
        <v>427</v>
      </c>
      <c r="D116" s="5" t="s">
        <v>166</v>
      </c>
      <c r="E116" s="5" t="s">
        <v>188</v>
      </c>
      <c r="F116">
        <v>0.94</v>
      </c>
      <c r="G116" s="5" t="s">
        <v>598</v>
      </c>
    </row>
    <row r="117" spans="1:7" x14ac:dyDescent="0.25">
      <c r="A117" s="5" t="s">
        <v>163</v>
      </c>
      <c r="B117" s="5" t="s">
        <v>428</v>
      </c>
      <c r="C117" s="5" t="s">
        <v>429</v>
      </c>
      <c r="D117" s="5" t="s">
        <v>166</v>
      </c>
      <c r="E117" s="5" t="s">
        <v>285</v>
      </c>
      <c r="F117">
        <v>0.83</v>
      </c>
      <c r="G117" s="5" t="s">
        <v>596</v>
      </c>
    </row>
    <row r="118" spans="1:7" x14ac:dyDescent="0.25">
      <c r="A118" s="5" t="s">
        <v>163</v>
      </c>
      <c r="B118" s="5" t="s">
        <v>430</v>
      </c>
      <c r="C118" s="5" t="s">
        <v>431</v>
      </c>
      <c r="D118" s="5" t="s">
        <v>166</v>
      </c>
      <c r="E118" s="5" t="s">
        <v>432</v>
      </c>
      <c r="F118">
        <v>0.97</v>
      </c>
      <c r="G118" s="5" t="s">
        <v>579</v>
      </c>
    </row>
    <row r="119" spans="1:7" x14ac:dyDescent="0.25">
      <c r="A119" s="5" t="s">
        <v>163</v>
      </c>
      <c r="B119" s="5" t="s">
        <v>433</v>
      </c>
      <c r="C119" s="5" t="s">
        <v>434</v>
      </c>
      <c r="D119" s="5" t="s">
        <v>166</v>
      </c>
      <c r="E119" s="5" t="s">
        <v>237</v>
      </c>
      <c r="F119">
        <v>0.93</v>
      </c>
      <c r="G119" s="5"/>
    </row>
    <row r="120" spans="1:7" x14ac:dyDescent="0.25">
      <c r="A120" s="5" t="s">
        <v>163</v>
      </c>
      <c r="B120" s="5" t="s">
        <v>435</v>
      </c>
      <c r="C120" s="5" t="s">
        <v>436</v>
      </c>
      <c r="D120" s="5" t="s">
        <v>166</v>
      </c>
      <c r="E120" s="5" t="s">
        <v>353</v>
      </c>
      <c r="F120">
        <v>0.94</v>
      </c>
      <c r="G120" s="5" t="s">
        <v>620</v>
      </c>
    </row>
    <row r="121" spans="1:7" x14ac:dyDescent="0.25">
      <c r="A121" s="5" t="s">
        <v>163</v>
      </c>
      <c r="B121" s="5" t="s">
        <v>437</v>
      </c>
      <c r="C121" s="5" t="s">
        <v>438</v>
      </c>
      <c r="D121" s="5" t="s">
        <v>166</v>
      </c>
      <c r="E121" s="5" t="s">
        <v>185</v>
      </c>
      <c r="F121">
        <v>0.94</v>
      </c>
      <c r="G121" s="5" t="s">
        <v>598</v>
      </c>
    </row>
    <row r="122" spans="1:7" x14ac:dyDescent="0.25">
      <c r="A122" s="5" t="s">
        <v>278</v>
      </c>
      <c r="B122" s="5" t="s">
        <v>439</v>
      </c>
      <c r="C122" s="5" t="s">
        <v>440</v>
      </c>
      <c r="D122" s="5" t="s">
        <v>166</v>
      </c>
      <c r="E122" s="5" t="s">
        <v>188</v>
      </c>
      <c r="F122">
        <v>0.83</v>
      </c>
      <c r="G122" s="5" t="s">
        <v>579</v>
      </c>
    </row>
    <row r="123" spans="1:7" x14ac:dyDescent="0.25">
      <c r="A123" s="5" t="s">
        <v>163</v>
      </c>
      <c r="B123" s="5" t="s">
        <v>441</v>
      </c>
      <c r="C123" s="5" t="s">
        <v>442</v>
      </c>
      <c r="D123" s="5" t="s">
        <v>166</v>
      </c>
      <c r="E123" s="5" t="s">
        <v>179</v>
      </c>
      <c r="F123">
        <v>0.95</v>
      </c>
      <c r="G123" s="5" t="s">
        <v>580</v>
      </c>
    </row>
    <row r="124" spans="1:7" x14ac:dyDescent="0.25">
      <c r="A124" s="5" t="s">
        <v>163</v>
      </c>
      <c r="B124" s="5" t="s">
        <v>443</v>
      </c>
      <c r="C124" s="5" t="s">
        <v>444</v>
      </c>
      <c r="D124" s="5" t="s">
        <v>166</v>
      </c>
      <c r="E124" s="5" t="s">
        <v>392</v>
      </c>
      <c r="F124">
        <v>0.94</v>
      </c>
      <c r="G124" s="5" t="s">
        <v>598</v>
      </c>
    </row>
    <row r="125" spans="1:7" x14ac:dyDescent="0.25">
      <c r="A125" s="5" t="s">
        <v>163</v>
      </c>
      <c r="B125" s="5" t="s">
        <v>445</v>
      </c>
      <c r="C125" s="5" t="s">
        <v>446</v>
      </c>
      <c r="D125" s="5" t="s">
        <v>166</v>
      </c>
      <c r="E125" s="5" t="s">
        <v>300</v>
      </c>
      <c r="F125">
        <v>0.95</v>
      </c>
      <c r="G125" s="5" t="s">
        <v>596</v>
      </c>
    </row>
    <row r="126" spans="1:7" x14ac:dyDescent="0.25">
      <c r="A126" s="5" t="s">
        <v>163</v>
      </c>
      <c r="B126" s="5" t="s">
        <v>447</v>
      </c>
      <c r="C126" s="5" t="s">
        <v>448</v>
      </c>
      <c r="D126" s="5" t="s">
        <v>166</v>
      </c>
      <c r="E126" s="5" t="s">
        <v>285</v>
      </c>
      <c r="G126" s="5"/>
    </row>
    <row r="127" spans="1:7" x14ac:dyDescent="0.25">
      <c r="A127" s="5" t="s">
        <v>163</v>
      </c>
      <c r="B127" s="5" t="s">
        <v>449</v>
      </c>
      <c r="C127" s="5" t="s">
        <v>450</v>
      </c>
      <c r="D127" s="5" t="s">
        <v>166</v>
      </c>
      <c r="E127" s="5" t="s">
        <v>451</v>
      </c>
      <c r="F127">
        <v>0.94</v>
      </c>
      <c r="G127" s="5" t="s">
        <v>596</v>
      </c>
    </row>
    <row r="128" spans="1:7" x14ac:dyDescent="0.25">
      <c r="A128" s="5" t="s">
        <v>163</v>
      </c>
      <c r="B128" s="5" t="s">
        <v>452</v>
      </c>
      <c r="C128" s="5" t="s">
        <v>453</v>
      </c>
      <c r="D128" s="5" t="s">
        <v>166</v>
      </c>
      <c r="E128" s="5" t="s">
        <v>324</v>
      </c>
      <c r="G128" s="5"/>
    </row>
    <row r="129" spans="1:7" x14ac:dyDescent="0.25">
      <c r="A129" s="5" t="s">
        <v>163</v>
      </c>
      <c r="B129" s="5" t="s">
        <v>454</v>
      </c>
      <c r="C129" s="5" t="s">
        <v>455</v>
      </c>
      <c r="D129" s="5" t="s">
        <v>166</v>
      </c>
      <c r="E129" s="5" t="s">
        <v>267</v>
      </c>
      <c r="F129">
        <v>0.95</v>
      </c>
      <c r="G129" s="5" t="s">
        <v>582</v>
      </c>
    </row>
    <row r="130" spans="1:7" x14ac:dyDescent="0.25">
      <c r="A130" s="5" t="s">
        <v>163</v>
      </c>
      <c r="B130" s="5" t="s">
        <v>456</v>
      </c>
      <c r="C130" s="5" t="s">
        <v>457</v>
      </c>
      <c r="D130" s="5" t="s">
        <v>166</v>
      </c>
      <c r="E130" s="5" t="s">
        <v>208</v>
      </c>
      <c r="F130">
        <v>0.89</v>
      </c>
      <c r="G130" s="5"/>
    </row>
    <row r="131" spans="1:7" x14ac:dyDescent="0.25">
      <c r="A131" s="5" t="s">
        <v>163</v>
      </c>
      <c r="B131" s="5" t="s">
        <v>458</v>
      </c>
      <c r="C131" s="5" t="s">
        <v>459</v>
      </c>
      <c r="D131" s="5" t="s">
        <v>166</v>
      </c>
      <c r="E131" s="5" t="s">
        <v>375</v>
      </c>
      <c r="F131">
        <v>0.93</v>
      </c>
      <c r="G131" s="5" t="s">
        <v>621</v>
      </c>
    </row>
    <row r="132" spans="1:7" x14ac:dyDescent="0.25">
      <c r="A132" s="5" t="s">
        <v>163</v>
      </c>
      <c r="B132" s="5" t="s">
        <v>460</v>
      </c>
      <c r="C132" s="5" t="s">
        <v>461</v>
      </c>
      <c r="D132" s="5" t="s">
        <v>166</v>
      </c>
      <c r="E132" s="5" t="s">
        <v>179</v>
      </c>
      <c r="F132">
        <v>0.81</v>
      </c>
      <c r="G132" s="5" t="s">
        <v>595</v>
      </c>
    </row>
    <row r="133" spans="1:7" x14ac:dyDescent="0.25">
      <c r="A133" s="5" t="s">
        <v>163</v>
      </c>
      <c r="B133" s="5" t="s">
        <v>462</v>
      </c>
      <c r="C133" s="5" t="s">
        <v>463</v>
      </c>
      <c r="D133" s="5" t="s">
        <v>166</v>
      </c>
      <c r="E133" s="5" t="s">
        <v>182</v>
      </c>
      <c r="F133">
        <v>0.99</v>
      </c>
      <c r="G133" s="5" t="s">
        <v>609</v>
      </c>
    </row>
    <row r="134" spans="1:7" x14ac:dyDescent="0.25">
      <c r="A134" s="5" t="s">
        <v>163</v>
      </c>
      <c r="B134" s="5" t="s">
        <v>464</v>
      </c>
      <c r="C134" s="5" t="s">
        <v>465</v>
      </c>
      <c r="D134" s="5" t="s">
        <v>166</v>
      </c>
      <c r="E134" s="5" t="s">
        <v>167</v>
      </c>
      <c r="F134">
        <v>0.15</v>
      </c>
      <c r="G134" s="5"/>
    </row>
    <row r="135" spans="1:7" x14ac:dyDescent="0.25">
      <c r="A135" s="5" t="s">
        <v>163</v>
      </c>
      <c r="B135" s="5" t="s">
        <v>466</v>
      </c>
      <c r="C135" s="5" t="s">
        <v>467</v>
      </c>
      <c r="D135" s="5" t="s">
        <v>166</v>
      </c>
      <c r="E135" s="5" t="s">
        <v>211</v>
      </c>
      <c r="F135">
        <v>0.8</v>
      </c>
      <c r="G135" s="5"/>
    </row>
    <row r="136" spans="1:7" x14ac:dyDescent="0.25">
      <c r="A136" s="5" t="s">
        <v>163</v>
      </c>
      <c r="B136" s="5" t="s">
        <v>468</v>
      </c>
      <c r="C136" s="5" t="s">
        <v>469</v>
      </c>
      <c r="D136" s="5" t="s">
        <v>166</v>
      </c>
      <c r="E136" s="5" t="s">
        <v>211</v>
      </c>
      <c r="G136" s="5"/>
    </row>
    <row r="137" spans="1:7" x14ac:dyDescent="0.25">
      <c r="A137" s="5" t="s">
        <v>163</v>
      </c>
      <c r="B137" s="5" t="s">
        <v>470</v>
      </c>
      <c r="C137" s="5" t="s">
        <v>471</v>
      </c>
      <c r="D137" s="5" t="s">
        <v>166</v>
      </c>
      <c r="E137" s="5" t="s">
        <v>167</v>
      </c>
      <c r="F137">
        <v>0.94</v>
      </c>
      <c r="G137" s="5" t="s">
        <v>614</v>
      </c>
    </row>
    <row r="138" spans="1:7" x14ac:dyDescent="0.25">
      <c r="A138" s="5" t="s">
        <v>163</v>
      </c>
      <c r="B138" s="5" t="s">
        <v>472</v>
      </c>
      <c r="C138" s="5" t="s">
        <v>473</v>
      </c>
      <c r="D138" s="5" t="s">
        <v>166</v>
      </c>
      <c r="E138" s="5" t="s">
        <v>313</v>
      </c>
      <c r="F138">
        <v>0.99</v>
      </c>
      <c r="G138" s="5" t="s">
        <v>582</v>
      </c>
    </row>
    <row r="139" spans="1:7" x14ac:dyDescent="0.25">
      <c r="A139" s="5" t="s">
        <v>163</v>
      </c>
      <c r="B139" s="5" t="s">
        <v>474</v>
      </c>
      <c r="C139" s="5" t="s">
        <v>475</v>
      </c>
      <c r="D139" s="5" t="s">
        <v>166</v>
      </c>
      <c r="E139" s="5" t="s">
        <v>343</v>
      </c>
      <c r="F139">
        <v>0.94</v>
      </c>
      <c r="G139" s="5" t="s">
        <v>622</v>
      </c>
    </row>
    <row r="140" spans="1:7" x14ac:dyDescent="0.25">
      <c r="A140" s="5" t="s">
        <v>163</v>
      </c>
      <c r="B140" s="5" t="s">
        <v>476</v>
      </c>
      <c r="C140" s="5" t="s">
        <v>477</v>
      </c>
      <c r="D140" s="5" t="s">
        <v>166</v>
      </c>
      <c r="E140" s="5" t="s">
        <v>170</v>
      </c>
      <c r="F140">
        <v>0.93</v>
      </c>
      <c r="G140" s="5" t="s">
        <v>580</v>
      </c>
    </row>
    <row r="141" spans="1:7" x14ac:dyDescent="0.25">
      <c r="A141" s="5" t="s">
        <v>163</v>
      </c>
      <c r="B141" s="5" t="s">
        <v>478</v>
      </c>
      <c r="C141" s="5" t="s">
        <v>479</v>
      </c>
      <c r="D141" s="5" t="s">
        <v>166</v>
      </c>
      <c r="E141" s="5" t="s">
        <v>182</v>
      </c>
      <c r="G141" s="5"/>
    </row>
    <row r="142" spans="1:7" x14ac:dyDescent="0.25">
      <c r="A142" s="5" t="s">
        <v>163</v>
      </c>
      <c r="B142" s="5" t="s">
        <v>480</v>
      </c>
      <c r="C142" s="5" t="s">
        <v>481</v>
      </c>
      <c r="D142" s="5" t="s">
        <v>166</v>
      </c>
      <c r="E142" s="5" t="s">
        <v>300</v>
      </c>
      <c r="F142">
        <v>0.98</v>
      </c>
      <c r="G142" s="5" t="s">
        <v>588</v>
      </c>
    </row>
    <row r="143" spans="1:7" x14ac:dyDescent="0.25">
      <c r="A143" s="5" t="s">
        <v>163</v>
      </c>
      <c r="B143" s="5" t="s">
        <v>482</v>
      </c>
      <c r="C143" s="5" t="s">
        <v>483</v>
      </c>
      <c r="D143" s="5" t="s">
        <v>166</v>
      </c>
      <c r="E143" s="5" t="s">
        <v>208</v>
      </c>
      <c r="F143">
        <v>0.92</v>
      </c>
      <c r="G143" s="5" t="s">
        <v>583</v>
      </c>
    </row>
    <row r="144" spans="1:7" x14ac:dyDescent="0.25">
      <c r="A144" s="5" t="s">
        <v>163</v>
      </c>
      <c r="B144" s="5" t="s">
        <v>484</v>
      </c>
      <c r="C144" s="5" t="s">
        <v>485</v>
      </c>
      <c r="D144" s="5" t="s">
        <v>166</v>
      </c>
      <c r="E144" s="5" t="s">
        <v>219</v>
      </c>
      <c r="F144">
        <v>0.91</v>
      </c>
      <c r="G144" s="5" t="s">
        <v>614</v>
      </c>
    </row>
    <row r="145" spans="1:7" x14ac:dyDescent="0.25">
      <c r="A145" s="5" t="s">
        <v>163</v>
      </c>
      <c r="B145" s="5" t="s">
        <v>486</v>
      </c>
      <c r="C145" s="5" t="s">
        <v>487</v>
      </c>
      <c r="D145" s="5" t="s">
        <v>166</v>
      </c>
      <c r="E145" s="5" t="s">
        <v>451</v>
      </c>
      <c r="F145">
        <v>0.57999999999999996</v>
      </c>
      <c r="G145" s="5"/>
    </row>
    <row r="146" spans="1:7" x14ac:dyDescent="0.25">
      <c r="A146" s="5" t="s">
        <v>163</v>
      </c>
      <c r="B146" s="5" t="s">
        <v>488</v>
      </c>
      <c r="C146" s="5" t="s">
        <v>489</v>
      </c>
      <c r="D146" s="5" t="s">
        <v>166</v>
      </c>
      <c r="E146" s="5" t="s">
        <v>179</v>
      </c>
      <c r="F146">
        <v>0.17</v>
      </c>
      <c r="G146" s="5" t="s">
        <v>583</v>
      </c>
    </row>
    <row r="147" spans="1:7" x14ac:dyDescent="0.25">
      <c r="A147" s="5" t="s">
        <v>163</v>
      </c>
      <c r="B147" s="5" t="s">
        <v>490</v>
      </c>
      <c r="C147" s="5" t="s">
        <v>491</v>
      </c>
      <c r="D147" s="5" t="s">
        <v>166</v>
      </c>
      <c r="E147" s="5" t="s">
        <v>205</v>
      </c>
      <c r="G147" s="5"/>
    </row>
    <row r="148" spans="1:7" x14ac:dyDescent="0.25">
      <c r="A148" s="5" t="s">
        <v>163</v>
      </c>
      <c r="B148" s="5" t="s">
        <v>492</v>
      </c>
      <c r="C148" s="5" t="s">
        <v>391</v>
      </c>
      <c r="D148" s="5" t="s">
        <v>166</v>
      </c>
      <c r="E148" s="5"/>
      <c r="G148" s="5"/>
    </row>
    <row r="149" spans="1:7" x14ac:dyDescent="0.25">
      <c r="A149" s="5" t="s">
        <v>163</v>
      </c>
      <c r="B149" s="5" t="s">
        <v>493</v>
      </c>
      <c r="C149" s="5" t="s">
        <v>494</v>
      </c>
      <c r="D149" s="5" t="s">
        <v>166</v>
      </c>
      <c r="E149" s="5" t="s">
        <v>182</v>
      </c>
      <c r="F149">
        <v>0.98</v>
      </c>
      <c r="G149" s="5" t="s">
        <v>623</v>
      </c>
    </row>
    <row r="150" spans="1:7" x14ac:dyDescent="0.25">
      <c r="A150" s="5" t="s">
        <v>163</v>
      </c>
      <c r="B150" s="5" t="s">
        <v>495</v>
      </c>
      <c r="C150" s="5" t="s">
        <v>496</v>
      </c>
      <c r="D150" s="5" t="s">
        <v>166</v>
      </c>
      <c r="E150" s="5" t="s">
        <v>497</v>
      </c>
      <c r="F150">
        <v>0.77</v>
      </c>
      <c r="G150" s="5" t="s">
        <v>592</v>
      </c>
    </row>
    <row r="151" spans="1:7" x14ac:dyDescent="0.25">
      <c r="A151" s="5" t="s">
        <v>163</v>
      </c>
      <c r="B151" s="5" t="s">
        <v>498</v>
      </c>
      <c r="C151" s="5" t="s">
        <v>499</v>
      </c>
      <c r="D151" s="5" t="s">
        <v>166</v>
      </c>
      <c r="E151" s="5" t="s">
        <v>208</v>
      </c>
      <c r="F151">
        <v>0.95</v>
      </c>
      <c r="G151" s="5" t="s">
        <v>624</v>
      </c>
    </row>
    <row r="152" spans="1:7" x14ac:dyDescent="0.25">
      <c r="A152" s="5" t="s">
        <v>163</v>
      </c>
      <c r="B152" s="5" t="s">
        <v>500</v>
      </c>
      <c r="C152" s="5" t="s">
        <v>501</v>
      </c>
      <c r="D152" s="5" t="s">
        <v>166</v>
      </c>
      <c r="E152" s="5" t="s">
        <v>324</v>
      </c>
      <c r="G152" s="5"/>
    </row>
    <row r="153" spans="1:7" x14ac:dyDescent="0.25">
      <c r="A153" s="5" t="s">
        <v>163</v>
      </c>
      <c r="B153" s="5" t="s">
        <v>502</v>
      </c>
      <c r="C153" s="5" t="s">
        <v>503</v>
      </c>
      <c r="D153" s="5" t="s">
        <v>166</v>
      </c>
      <c r="E153" s="5" t="s">
        <v>242</v>
      </c>
      <c r="F153">
        <v>0.94</v>
      </c>
      <c r="G153" s="5"/>
    </row>
    <row r="154" spans="1:7" x14ac:dyDescent="0.25">
      <c r="A154" s="5" t="s">
        <v>163</v>
      </c>
      <c r="B154" s="5" t="s">
        <v>504</v>
      </c>
      <c r="C154" s="5" t="s">
        <v>505</v>
      </c>
      <c r="D154" s="5" t="s">
        <v>166</v>
      </c>
      <c r="E154" s="5" t="s">
        <v>242</v>
      </c>
      <c r="F154">
        <v>0.78</v>
      </c>
      <c r="G154" s="5" t="s">
        <v>621</v>
      </c>
    </row>
    <row r="155" spans="1:7" x14ac:dyDescent="0.25">
      <c r="A155" s="5" t="s">
        <v>163</v>
      </c>
      <c r="B155" s="5" t="s">
        <v>506</v>
      </c>
      <c r="C155" s="5" t="s">
        <v>507</v>
      </c>
      <c r="D155" s="5" t="s">
        <v>166</v>
      </c>
      <c r="E155" s="5" t="s">
        <v>237</v>
      </c>
      <c r="F155">
        <v>0.78</v>
      </c>
      <c r="G155" s="5" t="s">
        <v>583</v>
      </c>
    </row>
    <row r="156" spans="1:7" x14ac:dyDescent="0.25">
      <c r="A156" s="5" t="s">
        <v>163</v>
      </c>
      <c r="B156" s="5" t="s">
        <v>508</v>
      </c>
      <c r="C156" s="5" t="s">
        <v>509</v>
      </c>
      <c r="D156" s="5" t="s">
        <v>166</v>
      </c>
      <c r="E156" s="5" t="s">
        <v>185</v>
      </c>
      <c r="F156">
        <v>0.93</v>
      </c>
      <c r="G156" s="5" t="s">
        <v>625</v>
      </c>
    </row>
    <row r="157" spans="1:7" x14ac:dyDescent="0.25">
      <c r="A157" s="5" t="s">
        <v>163</v>
      </c>
      <c r="B157" s="5" t="s">
        <v>510</v>
      </c>
      <c r="C157" s="5" t="s">
        <v>511</v>
      </c>
      <c r="D157" s="5" t="s">
        <v>166</v>
      </c>
      <c r="E157" s="5" t="s">
        <v>343</v>
      </c>
      <c r="F157">
        <v>0.84</v>
      </c>
      <c r="G157" s="5" t="s">
        <v>625</v>
      </c>
    </row>
    <row r="158" spans="1:7" x14ac:dyDescent="0.25">
      <c r="A158" s="5" t="s">
        <v>163</v>
      </c>
      <c r="B158" s="5" t="s">
        <v>512</v>
      </c>
      <c r="C158" s="5" t="s">
        <v>513</v>
      </c>
      <c r="D158" s="5" t="s">
        <v>166</v>
      </c>
      <c r="E158" s="5" t="s">
        <v>375</v>
      </c>
      <c r="F158">
        <v>0.98</v>
      </c>
      <c r="G158" s="5" t="s">
        <v>616</v>
      </c>
    </row>
    <row r="159" spans="1:7" x14ac:dyDescent="0.25">
      <c r="A159" s="5" t="s">
        <v>163</v>
      </c>
      <c r="B159" s="5" t="s">
        <v>514</v>
      </c>
      <c r="C159" s="5" t="s">
        <v>515</v>
      </c>
      <c r="D159" s="5" t="s">
        <v>166</v>
      </c>
      <c r="E159" s="5" t="s">
        <v>173</v>
      </c>
      <c r="F159">
        <v>0.39</v>
      </c>
      <c r="G159" s="5" t="s">
        <v>579</v>
      </c>
    </row>
    <row r="160" spans="1:7" x14ac:dyDescent="0.25">
      <c r="A160" s="5" t="s">
        <v>163</v>
      </c>
      <c r="B160" s="5" t="s">
        <v>516</v>
      </c>
      <c r="C160" s="5" t="s">
        <v>517</v>
      </c>
      <c r="D160" s="5" t="s">
        <v>166</v>
      </c>
      <c r="E160" s="5" t="s">
        <v>518</v>
      </c>
      <c r="F160">
        <v>0.94</v>
      </c>
      <c r="G160" s="5" t="s">
        <v>579</v>
      </c>
    </row>
    <row r="161" spans="1:7" x14ac:dyDescent="0.25">
      <c r="A161" s="5" t="s">
        <v>163</v>
      </c>
      <c r="B161" s="5" t="s">
        <v>519</v>
      </c>
      <c r="C161" s="5" t="s">
        <v>520</v>
      </c>
      <c r="D161" s="5" t="s">
        <v>166</v>
      </c>
      <c r="E161" s="5" t="s">
        <v>185</v>
      </c>
      <c r="G161" s="5"/>
    </row>
    <row r="162" spans="1:7" x14ac:dyDescent="0.25">
      <c r="A162" s="5" t="s">
        <v>163</v>
      </c>
      <c r="B162" s="5" t="s">
        <v>521</v>
      </c>
      <c r="C162" s="5" t="s">
        <v>522</v>
      </c>
      <c r="D162" s="5" t="s">
        <v>166</v>
      </c>
      <c r="E162" s="5" t="s">
        <v>188</v>
      </c>
      <c r="F162">
        <v>0.84</v>
      </c>
      <c r="G162" s="5" t="s">
        <v>592</v>
      </c>
    </row>
    <row r="163" spans="1:7" x14ac:dyDescent="0.25">
      <c r="A163" s="5" t="s">
        <v>163</v>
      </c>
      <c r="B163" s="5" t="s">
        <v>523</v>
      </c>
      <c r="C163" s="5" t="s">
        <v>524</v>
      </c>
      <c r="D163" s="5" t="s">
        <v>166</v>
      </c>
      <c r="E163" s="5" t="s">
        <v>173</v>
      </c>
      <c r="F163">
        <v>0.92</v>
      </c>
      <c r="G163" s="5" t="s">
        <v>583</v>
      </c>
    </row>
    <row r="164" spans="1:7" x14ac:dyDescent="0.25">
      <c r="A164" s="5" t="s">
        <v>163</v>
      </c>
      <c r="B164" s="5" t="s">
        <v>525</v>
      </c>
      <c r="C164" s="5" t="s">
        <v>526</v>
      </c>
      <c r="D164" s="5" t="s">
        <v>166</v>
      </c>
      <c r="E164" s="5" t="s">
        <v>188</v>
      </c>
      <c r="F164">
        <v>0.95</v>
      </c>
      <c r="G164" s="5" t="s">
        <v>618</v>
      </c>
    </row>
    <row r="165" spans="1:7" x14ac:dyDescent="0.25">
      <c r="A165" s="5" t="s">
        <v>163</v>
      </c>
      <c r="B165" s="5" t="s">
        <v>527</v>
      </c>
      <c r="C165" s="5" t="s">
        <v>528</v>
      </c>
      <c r="D165" s="5" t="s">
        <v>166</v>
      </c>
      <c r="E165" s="5" t="s">
        <v>529</v>
      </c>
      <c r="F165">
        <v>0.89</v>
      </c>
      <c r="G165" s="5" t="s">
        <v>594</v>
      </c>
    </row>
    <row r="166" spans="1:7" x14ac:dyDescent="0.25">
      <c r="A166" s="5" t="s">
        <v>163</v>
      </c>
      <c r="B166" s="5" t="s">
        <v>530</v>
      </c>
      <c r="C166" s="5" t="s">
        <v>531</v>
      </c>
      <c r="D166" s="5" t="s">
        <v>166</v>
      </c>
      <c r="E166" s="5" t="s">
        <v>343</v>
      </c>
      <c r="F166">
        <v>0.94</v>
      </c>
      <c r="G166" s="5" t="s">
        <v>625</v>
      </c>
    </row>
    <row r="167" spans="1:7" x14ac:dyDescent="0.25">
      <c r="A167" s="5" t="s">
        <v>163</v>
      </c>
      <c r="B167" s="5" t="s">
        <v>532</v>
      </c>
      <c r="C167" s="5" t="s">
        <v>533</v>
      </c>
      <c r="D167" s="5" t="s">
        <v>166</v>
      </c>
      <c r="E167" s="5" t="s">
        <v>237</v>
      </c>
      <c r="F167">
        <v>0.99</v>
      </c>
      <c r="G167" s="5" t="s">
        <v>584</v>
      </c>
    </row>
    <row r="168" spans="1:7" x14ac:dyDescent="0.25">
      <c r="A168" s="5" t="s">
        <v>174</v>
      </c>
      <c r="B168" s="5" t="s">
        <v>534</v>
      </c>
      <c r="C168" s="5" t="s">
        <v>535</v>
      </c>
      <c r="D168" s="5" t="s">
        <v>166</v>
      </c>
      <c r="E168" s="5" t="s">
        <v>170</v>
      </c>
      <c r="F168">
        <v>0.83</v>
      </c>
      <c r="G168" s="5" t="s">
        <v>626</v>
      </c>
    </row>
    <row r="169" spans="1:7" x14ac:dyDescent="0.25">
      <c r="A169" s="5" t="s">
        <v>163</v>
      </c>
      <c r="B169" s="5" t="s">
        <v>536</v>
      </c>
      <c r="C169" s="5" t="s">
        <v>537</v>
      </c>
      <c r="D169" s="5" t="s">
        <v>166</v>
      </c>
      <c r="E169" s="5" t="s">
        <v>211</v>
      </c>
      <c r="F169">
        <v>0.57999999999999996</v>
      </c>
      <c r="G169" s="5" t="s">
        <v>586</v>
      </c>
    </row>
    <row r="170" spans="1:7" x14ac:dyDescent="0.25">
      <c r="A170" s="5" t="s">
        <v>163</v>
      </c>
      <c r="B170" s="5" t="s">
        <v>538</v>
      </c>
      <c r="C170" s="5" t="s">
        <v>539</v>
      </c>
      <c r="D170" s="5" t="s">
        <v>166</v>
      </c>
      <c r="E170" s="5" t="s">
        <v>529</v>
      </c>
      <c r="F170">
        <v>0.89</v>
      </c>
      <c r="G170" s="5" t="s">
        <v>592</v>
      </c>
    </row>
    <row r="171" spans="1:7" x14ac:dyDescent="0.25">
      <c r="A171" s="5" t="s">
        <v>163</v>
      </c>
      <c r="B171" s="5" t="s">
        <v>540</v>
      </c>
      <c r="C171" s="5" t="s">
        <v>541</v>
      </c>
      <c r="D171" s="5" t="s">
        <v>166</v>
      </c>
      <c r="E171" s="5" t="s">
        <v>232</v>
      </c>
      <c r="F171">
        <v>0.88</v>
      </c>
      <c r="G171" s="5" t="s">
        <v>579</v>
      </c>
    </row>
    <row r="172" spans="1:7" x14ac:dyDescent="0.25">
      <c r="A172" s="5" t="s">
        <v>163</v>
      </c>
      <c r="B172" s="5" t="s">
        <v>542</v>
      </c>
      <c r="C172" s="5" t="s">
        <v>543</v>
      </c>
      <c r="D172" s="5" t="s">
        <v>166</v>
      </c>
      <c r="E172" s="5" t="s">
        <v>182</v>
      </c>
      <c r="F172">
        <v>0.56000000000000005</v>
      </c>
      <c r="G172" s="5" t="s">
        <v>583</v>
      </c>
    </row>
    <row r="173" spans="1:7" x14ac:dyDescent="0.25">
      <c r="A173" s="5" t="s">
        <v>163</v>
      </c>
      <c r="B173" s="5" t="s">
        <v>544</v>
      </c>
      <c r="C173" s="5" t="s">
        <v>545</v>
      </c>
      <c r="D173" s="5" t="s">
        <v>166</v>
      </c>
      <c r="E173" s="5" t="s">
        <v>285</v>
      </c>
      <c r="G173" s="5"/>
    </row>
    <row r="174" spans="1:7" x14ac:dyDescent="0.25">
      <c r="A174" s="5" t="s">
        <v>163</v>
      </c>
      <c r="B174" s="5" t="s">
        <v>546</v>
      </c>
      <c r="C174" s="5" t="s">
        <v>547</v>
      </c>
      <c r="D174" s="5" t="s">
        <v>166</v>
      </c>
      <c r="E174" s="5" t="s">
        <v>205</v>
      </c>
      <c r="F174">
        <v>0.99</v>
      </c>
      <c r="G174" s="5" t="s">
        <v>596</v>
      </c>
    </row>
    <row r="175" spans="1:7" x14ac:dyDescent="0.25">
      <c r="A175" s="5" t="s">
        <v>246</v>
      </c>
      <c r="B175" s="5" t="s">
        <v>548</v>
      </c>
      <c r="C175" s="5" t="s">
        <v>549</v>
      </c>
      <c r="D175" s="5" t="s">
        <v>166</v>
      </c>
      <c r="E175" s="5" t="s">
        <v>375</v>
      </c>
      <c r="F175">
        <v>0.5</v>
      </c>
      <c r="G175" s="5" t="s">
        <v>599</v>
      </c>
    </row>
    <row r="176" spans="1:7" x14ac:dyDescent="0.25">
      <c r="A176" s="5" t="s">
        <v>163</v>
      </c>
      <c r="B176" s="5" t="s">
        <v>550</v>
      </c>
      <c r="C176" s="5" t="s">
        <v>551</v>
      </c>
      <c r="D176" s="5" t="s">
        <v>166</v>
      </c>
      <c r="E176" s="5" t="s">
        <v>185</v>
      </c>
      <c r="F176">
        <v>0.99</v>
      </c>
      <c r="G176" s="5" t="s">
        <v>612</v>
      </c>
    </row>
    <row r="177" spans="1:7" x14ac:dyDescent="0.25">
      <c r="A177" s="5" t="s">
        <v>163</v>
      </c>
      <c r="B177" s="5" t="s">
        <v>552</v>
      </c>
      <c r="C177" s="5" t="s">
        <v>304</v>
      </c>
      <c r="D177" s="5" t="s">
        <v>166</v>
      </c>
      <c r="E177" s="5"/>
      <c r="F177">
        <v>1</v>
      </c>
      <c r="G177" s="5" t="s">
        <v>580</v>
      </c>
    </row>
    <row r="178" spans="1:7" x14ac:dyDescent="0.25">
      <c r="A178" s="5" t="s">
        <v>174</v>
      </c>
      <c r="B178" s="5" t="s">
        <v>553</v>
      </c>
      <c r="C178" s="5" t="s">
        <v>554</v>
      </c>
      <c r="D178" s="5" t="s">
        <v>166</v>
      </c>
      <c r="E178" s="5" t="s">
        <v>451</v>
      </c>
      <c r="F178">
        <v>0.89</v>
      </c>
      <c r="G178" s="5" t="s">
        <v>627</v>
      </c>
    </row>
    <row r="179" spans="1:7" x14ac:dyDescent="0.25">
      <c r="A179" s="5" t="s">
        <v>163</v>
      </c>
      <c r="B179" s="5" t="s">
        <v>555</v>
      </c>
      <c r="C179" s="5" t="s">
        <v>556</v>
      </c>
      <c r="D179" s="5" t="s">
        <v>166</v>
      </c>
      <c r="E179" s="5" t="s">
        <v>188</v>
      </c>
      <c r="F179">
        <v>0.89</v>
      </c>
      <c r="G179" s="5" t="s">
        <v>618</v>
      </c>
    </row>
    <row r="180" spans="1:7" x14ac:dyDescent="0.25">
      <c r="A180" s="5" t="s">
        <v>246</v>
      </c>
      <c r="B180" s="5" t="s">
        <v>557</v>
      </c>
      <c r="C180" s="5" t="s">
        <v>558</v>
      </c>
      <c r="D180" s="5" t="s">
        <v>166</v>
      </c>
      <c r="E180" s="5" t="s">
        <v>193</v>
      </c>
      <c r="F180">
        <v>0.9</v>
      </c>
      <c r="G180" s="5" t="s">
        <v>588</v>
      </c>
    </row>
    <row r="181" spans="1:7" x14ac:dyDescent="0.25">
      <c r="A181" s="5" t="s">
        <v>163</v>
      </c>
      <c r="B181" s="5" t="s">
        <v>559</v>
      </c>
      <c r="C181" s="5" t="s">
        <v>560</v>
      </c>
      <c r="D181" s="5" t="s">
        <v>166</v>
      </c>
      <c r="E181" s="5" t="s">
        <v>300</v>
      </c>
      <c r="G181" s="5"/>
    </row>
    <row r="182" spans="1:7" x14ac:dyDescent="0.25">
      <c r="A182" s="5" t="s">
        <v>174</v>
      </c>
      <c r="B182" s="5" t="s">
        <v>561</v>
      </c>
      <c r="C182" s="5" t="s">
        <v>562</v>
      </c>
      <c r="D182" s="5" t="s">
        <v>166</v>
      </c>
      <c r="E182" s="5" t="s">
        <v>529</v>
      </c>
      <c r="F182">
        <v>0.8</v>
      </c>
      <c r="G182" s="5" t="s">
        <v>587</v>
      </c>
    </row>
    <row r="183" spans="1:7" x14ac:dyDescent="0.25">
      <c r="A183" s="5" t="s">
        <v>163</v>
      </c>
      <c r="B183" s="5" t="s">
        <v>563</v>
      </c>
      <c r="C183" s="5" t="s">
        <v>564</v>
      </c>
      <c r="D183" s="5" t="s">
        <v>166</v>
      </c>
      <c r="E183" s="5" t="s">
        <v>245</v>
      </c>
      <c r="F183">
        <v>1</v>
      </c>
      <c r="G183" s="5" t="s">
        <v>628</v>
      </c>
    </row>
    <row r="184" spans="1:7" x14ac:dyDescent="0.25">
      <c r="A184" s="5" t="s">
        <v>163</v>
      </c>
      <c r="B184" s="5" t="s">
        <v>565</v>
      </c>
      <c r="C184" s="5" t="s">
        <v>566</v>
      </c>
      <c r="D184" s="5" t="s">
        <v>166</v>
      </c>
      <c r="E184" s="5" t="s">
        <v>208</v>
      </c>
      <c r="F184">
        <v>0.94</v>
      </c>
      <c r="G184" s="5"/>
    </row>
    <row r="185" spans="1:7" x14ac:dyDescent="0.25">
      <c r="A185" s="5" t="s">
        <v>163</v>
      </c>
      <c r="B185" s="5" t="s">
        <v>567</v>
      </c>
      <c r="C185" s="5" t="s">
        <v>568</v>
      </c>
      <c r="D185" s="5" t="s">
        <v>166</v>
      </c>
      <c r="E185" s="5" t="s">
        <v>285</v>
      </c>
      <c r="F185">
        <v>0.77</v>
      </c>
      <c r="G185" s="5" t="s">
        <v>618</v>
      </c>
    </row>
    <row r="186" spans="1:7" x14ac:dyDescent="0.25">
      <c r="A186" s="5" t="s">
        <v>163</v>
      </c>
      <c r="B186" s="5" t="s">
        <v>569</v>
      </c>
      <c r="C186" s="5" t="s">
        <v>570</v>
      </c>
      <c r="D186" s="5" t="s">
        <v>166</v>
      </c>
      <c r="E186" s="5" t="s">
        <v>208</v>
      </c>
      <c r="F186">
        <v>0.69</v>
      </c>
      <c r="G186" s="5" t="s">
        <v>592</v>
      </c>
    </row>
    <row r="187" spans="1:7" x14ac:dyDescent="0.25">
      <c r="A187" s="5" t="s">
        <v>163</v>
      </c>
      <c r="B187" s="5" t="s">
        <v>571</v>
      </c>
      <c r="C187" s="5" t="s">
        <v>572</v>
      </c>
      <c r="D187" s="5" t="s">
        <v>166</v>
      </c>
      <c r="E187" s="5" t="s">
        <v>188</v>
      </c>
      <c r="F187">
        <v>0.86</v>
      </c>
      <c r="G187" s="5" t="s">
        <v>588</v>
      </c>
    </row>
    <row r="188" spans="1:7" x14ac:dyDescent="0.25">
      <c r="A188" s="5" t="s">
        <v>163</v>
      </c>
      <c r="B188" s="5" t="s">
        <v>573</v>
      </c>
      <c r="C188" s="5" t="s">
        <v>574</v>
      </c>
      <c r="D188" s="5" t="s">
        <v>166</v>
      </c>
      <c r="E188" s="5" t="s">
        <v>324</v>
      </c>
      <c r="F188">
        <v>0.82</v>
      </c>
      <c r="G188" s="5" t="s">
        <v>616</v>
      </c>
    </row>
    <row r="189" spans="1:7" x14ac:dyDescent="0.25">
      <c r="A189" s="5" t="s">
        <v>163</v>
      </c>
      <c r="B189" s="5" t="s">
        <v>575</v>
      </c>
      <c r="C189" s="5" t="s">
        <v>576</v>
      </c>
      <c r="D189" s="5" t="s">
        <v>166</v>
      </c>
      <c r="E189" s="5" t="s">
        <v>577</v>
      </c>
      <c r="F189">
        <v>0.76</v>
      </c>
      <c r="G189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96AC-182C-43D2-9D60-A784F466E44B}">
  <dimension ref="B2:B9"/>
  <sheetViews>
    <sheetView workbookViewId="0"/>
  </sheetViews>
  <sheetFormatPr defaultRowHeight="15" x14ac:dyDescent="0.25"/>
  <cols>
    <col min="1" max="1" width="9.85546875" bestFit="1" customWidth="1"/>
    <col min="2" max="2" width="20.85546875" bestFit="1" customWidth="1"/>
  </cols>
  <sheetData>
    <row r="2" spans="2:2" x14ac:dyDescent="0.25">
      <c r="B2" s="5"/>
    </row>
    <row r="3" spans="2:2" x14ac:dyDescent="0.25">
      <c r="B3" s="5"/>
    </row>
    <row r="4" spans="2:2" x14ac:dyDescent="0.25">
      <c r="B4" s="5"/>
    </row>
    <row r="5" spans="2:2" x14ac:dyDescent="0.25">
      <c r="B5" s="5"/>
    </row>
    <row r="6" spans="2:2" x14ac:dyDescent="0.25">
      <c r="B6" s="5"/>
    </row>
    <row r="7" spans="2:2" x14ac:dyDescent="0.25">
      <c r="B7" s="5"/>
    </row>
    <row r="8" spans="2:2" x14ac:dyDescent="0.25">
      <c r="B8" s="5"/>
    </row>
    <row r="9" spans="2:2" x14ac:dyDescent="0.25">
      <c r="B9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"/>
  <sheetViews>
    <sheetView zoomScaleNormal="100" workbookViewId="0">
      <pane xSplit="2" ySplit="3" topLeftCell="E4" activePane="bottomRight" state="frozen"/>
      <selection pane="topRight" activeCell="C1" sqref="C1"/>
      <selection pane="bottomLeft" activeCell="A2" sqref="A2"/>
      <selection pane="bottomRight" activeCell="G12" sqref="G12"/>
    </sheetView>
  </sheetViews>
  <sheetFormatPr defaultRowHeight="15" x14ac:dyDescent="0.25"/>
  <cols>
    <col min="1" max="1" width="15" bestFit="1" customWidth="1"/>
    <col min="2" max="2" width="16.5703125" customWidth="1"/>
    <col min="3" max="3" width="18.140625" customWidth="1"/>
    <col min="4" max="4" width="15.28515625" bestFit="1" customWidth="1"/>
    <col min="5" max="5" width="15.28515625" customWidth="1"/>
    <col min="6" max="6" width="15" bestFit="1" customWidth="1"/>
    <col min="7" max="7" width="9.7109375" bestFit="1" customWidth="1"/>
    <col min="8" max="8" width="11.7109375" bestFit="1" customWidth="1"/>
    <col min="9" max="9" width="14.7109375" bestFit="1" customWidth="1"/>
    <col min="10" max="10" width="8.140625" bestFit="1" customWidth="1"/>
    <col min="11" max="11" width="8.28515625" bestFit="1" customWidth="1"/>
    <col min="12" max="12" width="21.85546875" bestFit="1" customWidth="1"/>
    <col min="13" max="13" width="24.85546875" bestFit="1" customWidth="1"/>
    <col min="14" max="14" width="8.42578125" bestFit="1" customWidth="1"/>
    <col min="15" max="15" width="20.7109375" customWidth="1"/>
    <col min="16" max="16" width="11" bestFit="1" customWidth="1"/>
    <col min="17" max="17" width="12" bestFit="1" customWidth="1"/>
    <col min="18" max="18" width="11.42578125" bestFit="1" customWidth="1"/>
    <col min="19" max="19" width="26.42578125" bestFit="1" customWidth="1"/>
    <col min="20" max="20" width="14.7109375" bestFit="1" customWidth="1"/>
    <col min="21" max="21" width="19.140625" bestFit="1" customWidth="1"/>
    <col min="22" max="22" width="19.5703125" bestFit="1" customWidth="1"/>
  </cols>
  <sheetData>
    <row r="1" spans="1:22" x14ac:dyDescent="0.25">
      <c r="A1" t="s">
        <v>150</v>
      </c>
      <c r="B1" t="s">
        <v>66</v>
      </c>
    </row>
    <row r="2" spans="1:22" x14ac:dyDescent="0.25">
      <c r="A2" t="s">
        <v>151</v>
      </c>
      <c r="B2" t="s">
        <v>152</v>
      </c>
      <c r="C2" t="s">
        <v>153</v>
      </c>
      <c r="D2" t="str">
        <f>_xlfn.CONCAT(branchname,"-",ifsccode)</f>
        <v>Ahmedabad-IF001</v>
      </c>
    </row>
    <row r="3" spans="1:22" s="1" customFormat="1" ht="20.100000000000001" customHeight="1" x14ac:dyDescent="0.25">
      <c r="A3" s="1" t="s">
        <v>0</v>
      </c>
      <c r="B3" s="1" t="s">
        <v>1</v>
      </c>
      <c r="C3" s="1" t="s">
        <v>127</v>
      </c>
      <c r="D3" s="1" t="s">
        <v>2</v>
      </c>
      <c r="E3" s="1" t="s">
        <v>138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7</v>
      </c>
      <c r="K3" s="1" t="s">
        <v>8</v>
      </c>
      <c r="L3" s="1" t="s">
        <v>9</v>
      </c>
      <c r="M3" s="1" t="s">
        <v>123</v>
      </c>
      <c r="N3" s="1" t="s">
        <v>10</v>
      </c>
      <c r="O3" s="1" t="s">
        <v>11</v>
      </c>
      <c r="P3" s="1" t="s">
        <v>12</v>
      </c>
      <c r="Q3" s="1" t="s">
        <v>13</v>
      </c>
      <c r="R3" s="1" t="s">
        <v>14</v>
      </c>
      <c r="S3" s="1" t="s">
        <v>15</v>
      </c>
      <c r="T3" s="1" t="s">
        <v>16</v>
      </c>
      <c r="U3" s="1" t="s">
        <v>17</v>
      </c>
      <c r="V3" s="1" t="s">
        <v>18</v>
      </c>
    </row>
    <row r="4" spans="1:22" ht="20.100000000000001" customHeight="1" x14ac:dyDescent="0.25">
      <c r="A4">
        <v>101</v>
      </c>
      <c r="B4" t="s">
        <v>19</v>
      </c>
      <c r="C4" t="s">
        <v>128</v>
      </c>
      <c r="D4" t="s">
        <v>20</v>
      </c>
      <c r="E4" t="s">
        <v>139</v>
      </c>
      <c r="F4" t="s">
        <v>21</v>
      </c>
      <c r="G4" t="s">
        <v>22</v>
      </c>
      <c r="H4" t="s">
        <v>23</v>
      </c>
      <c r="I4" t="s">
        <v>24</v>
      </c>
      <c r="J4">
        <v>55000</v>
      </c>
      <c r="K4">
        <v>5000</v>
      </c>
      <c r="L4">
        <v>3</v>
      </c>
      <c r="M4">
        <v>4.5</v>
      </c>
      <c r="N4" t="s">
        <v>25</v>
      </c>
      <c r="O4" t="s">
        <v>26</v>
      </c>
      <c r="P4" s="5">
        <v>9876543210</v>
      </c>
      <c r="Q4" t="s">
        <v>27</v>
      </c>
      <c r="R4" t="s">
        <v>28</v>
      </c>
      <c r="S4" t="s">
        <v>29</v>
      </c>
      <c r="T4">
        <v>12</v>
      </c>
      <c r="U4">
        <v>8</v>
      </c>
      <c r="V4" t="s">
        <v>30</v>
      </c>
    </row>
    <row r="5" spans="1:22" ht="20.100000000000001" customHeight="1" x14ac:dyDescent="0.25">
      <c r="A5">
        <v>102</v>
      </c>
      <c r="B5" t="s">
        <v>31</v>
      </c>
      <c r="C5" t="s">
        <v>129</v>
      </c>
      <c r="D5" t="s">
        <v>32</v>
      </c>
      <c r="E5" t="s">
        <v>140</v>
      </c>
      <c r="F5" t="s">
        <v>33</v>
      </c>
      <c r="G5" t="s">
        <v>34</v>
      </c>
      <c r="H5" t="s">
        <v>35</v>
      </c>
      <c r="I5" t="s">
        <v>36</v>
      </c>
      <c r="J5">
        <v>48000</v>
      </c>
      <c r="K5">
        <v>4000</v>
      </c>
      <c r="L5">
        <v>5</v>
      </c>
      <c r="M5">
        <v>4</v>
      </c>
      <c r="N5" t="s">
        <v>25</v>
      </c>
      <c r="O5" t="s">
        <v>37</v>
      </c>
      <c r="P5" t="s">
        <v>38</v>
      </c>
      <c r="Q5" t="s">
        <v>39</v>
      </c>
      <c r="R5" t="s">
        <v>40</v>
      </c>
      <c r="S5" t="s">
        <v>41</v>
      </c>
      <c r="T5">
        <v>10</v>
      </c>
      <c r="U5">
        <v>7</v>
      </c>
      <c r="V5" t="s">
        <v>42</v>
      </c>
    </row>
    <row r="6" spans="1:22" ht="20.100000000000001" customHeight="1" x14ac:dyDescent="0.25">
      <c r="A6">
        <v>103</v>
      </c>
      <c r="B6" t="s">
        <v>43</v>
      </c>
      <c r="C6" t="s">
        <v>130</v>
      </c>
      <c r="D6" t="s">
        <v>44</v>
      </c>
      <c r="E6" t="s">
        <v>141</v>
      </c>
      <c r="F6" t="s">
        <v>45</v>
      </c>
      <c r="G6" t="s">
        <v>22</v>
      </c>
      <c r="H6" t="s">
        <v>46</v>
      </c>
      <c r="I6" t="s">
        <v>47</v>
      </c>
      <c r="J6">
        <v>60000</v>
      </c>
      <c r="K6">
        <v>6000</v>
      </c>
      <c r="L6">
        <v>6</v>
      </c>
      <c r="M6">
        <v>4.8</v>
      </c>
      <c r="N6" t="s">
        <v>25</v>
      </c>
      <c r="O6" t="s">
        <v>48</v>
      </c>
      <c r="P6" t="s">
        <v>49</v>
      </c>
      <c r="Q6" t="s">
        <v>50</v>
      </c>
      <c r="R6" t="s">
        <v>51</v>
      </c>
      <c r="S6" t="s">
        <v>52</v>
      </c>
      <c r="T6">
        <v>8</v>
      </c>
      <c r="U6">
        <v>9</v>
      </c>
      <c r="V6" t="s">
        <v>53</v>
      </c>
    </row>
    <row r="7" spans="1:22" ht="20.100000000000001" customHeight="1" x14ac:dyDescent="0.25">
      <c r="A7">
        <v>104</v>
      </c>
      <c r="B7" t="s">
        <v>54</v>
      </c>
      <c r="C7" t="s">
        <v>131</v>
      </c>
      <c r="D7" t="s">
        <v>20</v>
      </c>
      <c r="E7" t="s">
        <v>142</v>
      </c>
      <c r="F7" t="s">
        <v>55</v>
      </c>
      <c r="G7" t="s">
        <v>34</v>
      </c>
      <c r="H7" t="s">
        <v>56</v>
      </c>
      <c r="I7" t="s">
        <v>57</v>
      </c>
      <c r="J7">
        <v>45000</v>
      </c>
      <c r="K7">
        <v>3000</v>
      </c>
      <c r="L7">
        <v>2</v>
      </c>
      <c r="M7">
        <v>3.9</v>
      </c>
      <c r="N7" t="s">
        <v>25</v>
      </c>
      <c r="O7" t="s">
        <v>58</v>
      </c>
      <c r="P7" t="s">
        <v>59</v>
      </c>
      <c r="Q7" t="s">
        <v>60</v>
      </c>
      <c r="R7" t="s">
        <v>28</v>
      </c>
      <c r="S7" t="s">
        <v>61</v>
      </c>
      <c r="T7">
        <v>15</v>
      </c>
      <c r="U7">
        <v>8</v>
      </c>
      <c r="V7" t="s">
        <v>62</v>
      </c>
    </row>
    <row r="8" spans="1:22" ht="20.100000000000001" customHeight="1" x14ac:dyDescent="0.25">
      <c r="A8">
        <v>105</v>
      </c>
      <c r="B8" t="s">
        <v>63</v>
      </c>
      <c r="C8" t="s">
        <v>132</v>
      </c>
      <c r="D8" t="s">
        <v>64</v>
      </c>
      <c r="E8" t="s">
        <v>143</v>
      </c>
      <c r="F8" t="s">
        <v>65</v>
      </c>
      <c r="G8" t="s">
        <v>22</v>
      </c>
      <c r="H8" t="s">
        <v>66</v>
      </c>
      <c r="I8" s="3">
        <v>43245</v>
      </c>
      <c r="J8">
        <v>12000</v>
      </c>
      <c r="K8">
        <v>7000</v>
      </c>
      <c r="L8">
        <v>7</v>
      </c>
      <c r="M8">
        <v>4.2</v>
      </c>
      <c r="N8" t="s">
        <v>25</v>
      </c>
      <c r="O8" t="s">
        <v>67</v>
      </c>
      <c r="P8" t="s">
        <v>68</v>
      </c>
      <c r="Q8" t="s">
        <v>69</v>
      </c>
      <c r="R8" t="s">
        <v>70</v>
      </c>
      <c r="S8" t="s">
        <v>71</v>
      </c>
      <c r="T8">
        <v>6</v>
      </c>
      <c r="U8">
        <v>9</v>
      </c>
      <c r="V8" t="s">
        <v>72</v>
      </c>
    </row>
    <row r="9" spans="1:22" ht="20.100000000000001" customHeight="1" x14ac:dyDescent="0.25">
      <c r="A9">
        <v>106</v>
      </c>
      <c r="B9" t="s">
        <v>73</v>
      </c>
      <c r="C9" t="s">
        <v>133</v>
      </c>
      <c r="D9" t="s">
        <v>74</v>
      </c>
      <c r="E9" t="s">
        <v>144</v>
      </c>
      <c r="F9" t="s">
        <v>75</v>
      </c>
      <c r="G9" t="s">
        <v>34</v>
      </c>
      <c r="H9" t="s">
        <v>76</v>
      </c>
      <c r="I9" t="s">
        <v>77</v>
      </c>
      <c r="J9">
        <v>47000</v>
      </c>
      <c r="K9">
        <v>3500</v>
      </c>
      <c r="L9">
        <v>3</v>
      </c>
      <c r="M9">
        <v>4.0999999999999996</v>
      </c>
      <c r="N9" t="s">
        <v>25</v>
      </c>
      <c r="O9" t="s">
        <v>78</v>
      </c>
      <c r="P9" t="s">
        <v>79</v>
      </c>
      <c r="Q9" t="s">
        <v>80</v>
      </c>
      <c r="R9" t="s">
        <v>81</v>
      </c>
      <c r="S9" t="s">
        <v>82</v>
      </c>
      <c r="T9">
        <v>9</v>
      </c>
      <c r="U9">
        <v>8</v>
      </c>
      <c r="V9" t="s">
        <v>83</v>
      </c>
    </row>
    <row r="10" spans="1:22" ht="20.100000000000001" customHeight="1" x14ac:dyDescent="0.25">
      <c r="A10">
        <v>107</v>
      </c>
      <c r="B10" t="s">
        <v>84</v>
      </c>
      <c r="C10" t="s">
        <v>134</v>
      </c>
      <c r="D10" t="s">
        <v>85</v>
      </c>
      <c r="E10" t="s">
        <v>145</v>
      </c>
      <c r="F10" t="s">
        <v>86</v>
      </c>
      <c r="G10" t="s">
        <v>22</v>
      </c>
      <c r="H10" t="s">
        <v>87</v>
      </c>
      <c r="I10" t="s">
        <v>88</v>
      </c>
      <c r="J10">
        <v>50000</v>
      </c>
      <c r="K10">
        <v>2500</v>
      </c>
      <c r="L10">
        <v>8</v>
      </c>
      <c r="M10">
        <v>3.8</v>
      </c>
      <c r="N10" t="s">
        <v>89</v>
      </c>
      <c r="O10" t="s">
        <v>90</v>
      </c>
      <c r="P10" t="s">
        <v>91</v>
      </c>
      <c r="Q10" t="s">
        <v>92</v>
      </c>
      <c r="R10" t="s">
        <v>93</v>
      </c>
      <c r="S10" t="s">
        <v>94</v>
      </c>
      <c r="T10">
        <v>20</v>
      </c>
      <c r="U10">
        <v>7</v>
      </c>
      <c r="V10" t="s">
        <v>95</v>
      </c>
    </row>
    <row r="11" spans="1:22" ht="20.100000000000001" customHeight="1" x14ac:dyDescent="0.25">
      <c r="A11">
        <v>108</v>
      </c>
      <c r="B11" t="s">
        <v>96</v>
      </c>
      <c r="C11" t="s">
        <v>135</v>
      </c>
      <c r="D11" t="s">
        <v>44</v>
      </c>
      <c r="E11" t="s">
        <v>146</v>
      </c>
      <c r="F11" t="s">
        <v>97</v>
      </c>
      <c r="G11" t="s">
        <v>34</v>
      </c>
      <c r="H11" t="s">
        <v>98</v>
      </c>
      <c r="I11" t="s">
        <v>99</v>
      </c>
      <c r="J11">
        <v>50000</v>
      </c>
      <c r="K11">
        <v>4500</v>
      </c>
      <c r="L11">
        <v>1</v>
      </c>
      <c r="M11">
        <v>4.5999999999999996</v>
      </c>
      <c r="N11" t="s">
        <v>25</v>
      </c>
      <c r="O11" t="s">
        <v>100</v>
      </c>
      <c r="P11" t="s">
        <v>101</v>
      </c>
      <c r="Q11" t="s">
        <v>102</v>
      </c>
      <c r="R11" t="s">
        <v>51</v>
      </c>
      <c r="S11" t="s">
        <v>103</v>
      </c>
      <c r="T11">
        <v>5</v>
      </c>
      <c r="U11">
        <v>8</v>
      </c>
      <c r="V11" t="s">
        <v>104</v>
      </c>
    </row>
    <row r="12" spans="1:22" ht="20.100000000000001" customHeight="1" x14ac:dyDescent="0.25">
      <c r="A12">
        <v>109</v>
      </c>
      <c r="B12" t="s">
        <v>105</v>
      </c>
      <c r="C12" t="s">
        <v>136</v>
      </c>
      <c r="D12" t="s">
        <v>20</v>
      </c>
      <c r="E12" t="s">
        <v>147</v>
      </c>
      <c r="F12" t="s">
        <v>106</v>
      </c>
      <c r="G12" t="s">
        <v>22</v>
      </c>
      <c r="H12" t="s">
        <v>107</v>
      </c>
      <c r="I12" t="s">
        <v>108</v>
      </c>
      <c r="J12">
        <v>65000</v>
      </c>
      <c r="K12">
        <v>8000</v>
      </c>
      <c r="L12">
        <v>6</v>
      </c>
      <c r="M12">
        <v>4.7</v>
      </c>
      <c r="N12" t="s">
        <v>25</v>
      </c>
      <c r="O12" t="s">
        <v>109</v>
      </c>
      <c r="P12" t="s">
        <v>110</v>
      </c>
      <c r="Q12" t="s">
        <v>111</v>
      </c>
      <c r="R12" t="s">
        <v>28</v>
      </c>
      <c r="S12" t="s">
        <v>112</v>
      </c>
      <c r="T12">
        <v>7</v>
      </c>
      <c r="U12">
        <v>9</v>
      </c>
      <c r="V12" t="s">
        <v>113</v>
      </c>
    </row>
    <row r="13" spans="1:22" ht="20.100000000000001" customHeight="1" x14ac:dyDescent="0.25">
      <c r="A13">
        <v>110</v>
      </c>
      <c r="B13" t="s">
        <v>114</v>
      </c>
      <c r="C13" t="s">
        <v>93</v>
      </c>
      <c r="D13" t="s">
        <v>32</v>
      </c>
      <c r="E13" t="s">
        <v>148</v>
      </c>
      <c r="F13" t="s">
        <v>115</v>
      </c>
      <c r="G13" t="s">
        <v>34</v>
      </c>
      <c r="H13" t="s">
        <v>116</v>
      </c>
      <c r="I13" t="s">
        <v>117</v>
      </c>
      <c r="J13">
        <v>46000</v>
      </c>
      <c r="K13">
        <v>3000</v>
      </c>
      <c r="L13">
        <v>4</v>
      </c>
      <c r="M13">
        <v>4</v>
      </c>
      <c r="N13" t="s">
        <v>25</v>
      </c>
      <c r="O13" t="s">
        <v>118</v>
      </c>
      <c r="P13" t="s">
        <v>119</v>
      </c>
      <c r="Q13" t="s">
        <v>120</v>
      </c>
      <c r="R13" s="4" t="s">
        <v>40</v>
      </c>
      <c r="S13" s="4" t="s">
        <v>121</v>
      </c>
      <c r="T13">
        <v>11</v>
      </c>
      <c r="U13">
        <v>8</v>
      </c>
      <c r="V13" t="s">
        <v>122</v>
      </c>
    </row>
    <row r="14" spans="1:22" x14ac:dyDescent="0.25">
      <c r="A14">
        <v>111</v>
      </c>
      <c r="B14" t="s">
        <v>124</v>
      </c>
      <c r="C14" t="s">
        <v>137</v>
      </c>
      <c r="D14" t="s">
        <v>20</v>
      </c>
      <c r="E14" t="s">
        <v>149</v>
      </c>
      <c r="F14" t="s">
        <v>106</v>
      </c>
      <c r="G14" t="s">
        <v>125</v>
      </c>
      <c r="H14" t="s">
        <v>23</v>
      </c>
      <c r="I14" s="2">
        <v>44141</v>
      </c>
      <c r="J14">
        <v>25000</v>
      </c>
      <c r="K14">
        <v>1200</v>
      </c>
      <c r="L14">
        <v>2</v>
      </c>
      <c r="M14">
        <v>4.5</v>
      </c>
      <c r="N14" t="s">
        <v>126</v>
      </c>
    </row>
    <row r="17" spans="6:7" x14ac:dyDescent="0.25">
      <c r="F17" t="s">
        <v>154</v>
      </c>
      <c r="G17">
        <f>SUM(Salarylist)+1000</f>
        <v>504000</v>
      </c>
    </row>
    <row r="18" spans="6:7" x14ac:dyDescent="0.25">
      <c r="F18" t="s">
        <v>155</v>
      </c>
      <c r="G18">
        <f>AVERAGE(Salarylist)</f>
        <v>45727.272727272728</v>
      </c>
    </row>
  </sheetData>
  <pageMargins left="0.75" right="0.75" top="1" bottom="1" header="0.5" footer="0.5"/>
  <cellWatches>
    <cellWatch r="G17"/>
    <cellWatch r="G18"/>
  </cellWatch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47DE-794C-451E-A921-87EC497E06DC}">
  <dimension ref="A1"/>
  <sheetViews>
    <sheetView topLeftCell="A13" workbookViewId="0">
      <selection activeCell="K13" sqref="K13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3A7894-5038-42D3-B4A8-C87FD994E1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Table 1</vt:lpstr>
      <vt:lpstr>users</vt:lpstr>
      <vt:lpstr>Employee Data</vt:lpstr>
      <vt:lpstr>Sheet1</vt:lpstr>
      <vt:lpstr>branchname</vt:lpstr>
      <vt:lpstr>ifsccode</vt:lpstr>
      <vt:lpstr>Salarylist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Shalini Rathore</cp:lastModifiedBy>
  <dcterms:created xsi:type="dcterms:W3CDTF">2025-12-15T05:37:32Z</dcterms:created>
  <dcterms:modified xsi:type="dcterms:W3CDTF">2026-01-06T04:55:29Z</dcterms:modified>
</cp:coreProperties>
</file>