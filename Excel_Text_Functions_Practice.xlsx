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657A92B4-9467-420E-ACC1-2D5210593F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actice Data" sheetId="1" r:id="rId1"/>
    <sheet name="Tasks" sheetId="2" r:id="rId2"/>
    <sheet name="Function Guide" sheetId="3" r:id="rId3"/>
    <sheet name="Answer Key" sheetId="4" r:id="rId4"/>
  </sheet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2" i="1"/>
  <c r="V19" i="1"/>
  <c r="U19" i="1"/>
  <c r="T1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Q1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  <c r="P1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K5" i="1"/>
  <c r="L5" i="1" s="1"/>
  <c r="K9" i="1"/>
  <c r="L9" i="1" s="1"/>
  <c r="K13" i="1"/>
  <c r="L13" i="1" s="1"/>
  <c r="K2" i="1"/>
  <c r="L2" i="1" s="1"/>
  <c r="J2" i="1"/>
  <c r="I5" i="1"/>
  <c r="J5" i="1" s="1"/>
  <c r="I6" i="1"/>
  <c r="K6" i="1" s="1"/>
  <c r="L6" i="1" s="1"/>
  <c r="I9" i="1"/>
  <c r="J9" i="1" s="1"/>
  <c r="I10" i="1"/>
  <c r="K10" i="1" s="1"/>
  <c r="L10" i="1" s="1"/>
  <c r="I13" i="1"/>
  <c r="J13" i="1" s="1"/>
  <c r="I14" i="1"/>
  <c r="K14" i="1" s="1"/>
  <c r="L14" i="1" s="1"/>
  <c r="I2" i="1"/>
  <c r="H3" i="1"/>
  <c r="I3" i="1" s="1"/>
  <c r="H4" i="1"/>
  <c r="I4" i="1" s="1"/>
  <c r="H5" i="1"/>
  <c r="H6" i="1"/>
  <c r="H7" i="1"/>
  <c r="I7" i="1" s="1"/>
  <c r="H8" i="1"/>
  <c r="I8" i="1" s="1"/>
  <c r="H9" i="1"/>
  <c r="H10" i="1"/>
  <c r="H11" i="1"/>
  <c r="I11" i="1" s="1"/>
  <c r="H12" i="1"/>
  <c r="I12" i="1" s="1"/>
  <c r="H13" i="1"/>
  <c r="H14" i="1"/>
  <c r="H15" i="1"/>
  <c r="I15" i="1" s="1"/>
  <c r="H16" i="1"/>
  <c r="I16" i="1" s="1"/>
  <c r="H2" i="1"/>
  <c r="B21" i="4"/>
  <c r="B20" i="4"/>
  <c r="B19" i="4"/>
  <c r="B18" i="4"/>
  <c r="B17" i="4"/>
  <c r="B14" i="4"/>
  <c r="B13" i="4"/>
  <c r="B12" i="4"/>
  <c r="B11" i="4"/>
  <c r="B10" i="4"/>
  <c r="B9" i="4"/>
  <c r="B8" i="4"/>
  <c r="B7" i="4"/>
  <c r="C14" i="3"/>
  <c r="C13" i="3"/>
  <c r="C12" i="3"/>
  <c r="C9" i="3"/>
  <c r="C8" i="3"/>
  <c r="C7" i="3"/>
  <c r="C6" i="3"/>
  <c r="C5" i="3"/>
  <c r="C4" i="3"/>
  <c r="C3" i="3"/>
  <c r="C2" i="3"/>
  <c r="C10" i="3" s="1"/>
  <c r="J15" i="1" l="1"/>
  <c r="K15" i="1"/>
  <c r="L15" i="1" s="1"/>
  <c r="J11" i="1"/>
  <c r="K11" i="1"/>
  <c r="L11" i="1" s="1"/>
  <c r="J7" i="1"/>
  <c r="K7" i="1"/>
  <c r="L7" i="1" s="1"/>
  <c r="J3" i="1"/>
  <c r="K3" i="1"/>
  <c r="L3" i="1" s="1"/>
  <c r="J16" i="1"/>
  <c r="K16" i="1"/>
  <c r="L16" i="1" s="1"/>
  <c r="J12" i="1"/>
  <c r="K12" i="1"/>
  <c r="L12" i="1" s="1"/>
  <c r="J8" i="1"/>
  <c r="K8" i="1"/>
  <c r="L8" i="1" s="1"/>
  <c r="J4" i="1"/>
  <c r="K4" i="1"/>
  <c r="L4" i="1" s="1"/>
  <c r="J14" i="1"/>
  <c r="J10" i="1"/>
  <c r="J6" i="1"/>
  <c r="C11" i="3"/>
  <c r="B6" i="4"/>
  <c r="B3" i="4"/>
  <c r="B4" i="4"/>
  <c r="B15" i="4"/>
  <c r="B16" i="4"/>
  <c r="B2" i="4"/>
  <c r="B5" i="4"/>
</calcChain>
</file>

<file path=xl/sharedStrings.xml><?xml version="1.0" encoding="utf-8"?>
<sst xmlns="http://schemas.openxmlformats.org/spreadsheetml/2006/main" count="252" uniqueCount="203">
  <si>
    <t>EmpID</t>
  </si>
  <si>
    <t>FullName</t>
  </si>
  <si>
    <t>Email</t>
  </si>
  <si>
    <t>City</t>
  </si>
  <si>
    <t>Department</t>
  </si>
  <si>
    <t>JobTitle</t>
  </si>
  <si>
    <t>EmployeeCode</t>
  </si>
  <si>
    <t>Clean Name</t>
  </si>
  <si>
    <t>UPPER Name</t>
  </si>
  <si>
    <t>LOWER Name</t>
  </si>
  <si>
    <t>PROPER Name</t>
  </si>
  <si>
    <t>Name Length</t>
  </si>
  <si>
    <t>Code Prefix</t>
  </si>
  <si>
    <t>Code Suffix</t>
  </si>
  <si>
    <t>@ Position</t>
  </si>
  <si>
    <t>Search @</t>
  </si>
  <si>
    <t>Clean Department</t>
  </si>
  <si>
    <t>Name + City</t>
  </si>
  <si>
    <t>Text Join</t>
  </si>
  <si>
    <t>First Name</t>
  </si>
  <si>
    <t>Last Name</t>
  </si>
  <si>
    <t>Email Username</t>
  </si>
  <si>
    <t>Email Domain</t>
  </si>
  <si>
    <t>Employee Label</t>
  </si>
  <si>
    <t>Contains email.com</t>
  </si>
  <si>
    <t>Clean Email</t>
  </si>
  <si>
    <t xml:space="preserve">  John Smith  </t>
  </si>
  <si>
    <t>john.smith@email.com</t>
  </si>
  <si>
    <t>London</t>
  </si>
  <si>
    <t>IT-Development</t>
  </si>
  <si>
    <t>Senior Developer</t>
  </si>
  <si>
    <t>UK-1001</t>
  </si>
  <si>
    <t>emma.watson@email.com</t>
  </si>
  <si>
    <t>Manchester</t>
  </si>
  <si>
    <t>HR-Recruitment</t>
  </si>
  <si>
    <t>HR Executive</t>
  </si>
  <si>
    <t>UK-1002</t>
  </si>
  <si>
    <t>Liam Brown</t>
  </si>
  <si>
    <t>liam.brown@email.com</t>
  </si>
  <si>
    <t>Birmingham</t>
  </si>
  <si>
    <t>Sales-Retail</t>
  </si>
  <si>
    <t>Sales Manager</t>
  </si>
  <si>
    <t>UK-1003</t>
  </si>
  <si>
    <t xml:space="preserve">  Olivia Taylor</t>
  </si>
  <si>
    <t>olivia.taylor@email.com</t>
  </si>
  <si>
    <t>Leeds</t>
  </si>
  <si>
    <t>Finance-Accounts</t>
  </si>
  <si>
    <t>Accountant</t>
  </si>
  <si>
    <t>UK-1004</t>
  </si>
  <si>
    <t>Noah Wilson</t>
  </si>
  <si>
    <t>noah.wilson@email.com</t>
  </si>
  <si>
    <t>Bristol</t>
  </si>
  <si>
    <t>IT-Support</t>
  </si>
  <si>
    <t>Support Engineer</t>
  </si>
  <si>
    <t>UK-1005</t>
  </si>
  <si>
    <t>Sophia Davies</t>
  </si>
  <si>
    <t>sophia.davies@email.com</t>
  </si>
  <si>
    <t>Liverpool</t>
  </si>
  <si>
    <t>Marketing-Digital</t>
  </si>
  <si>
    <t>Marketing Executive</t>
  </si>
  <si>
    <t>UK-1006</t>
  </si>
  <si>
    <t>James Evans</t>
  </si>
  <si>
    <t>james.evans@email.com</t>
  </si>
  <si>
    <t>Oxford</t>
  </si>
  <si>
    <t>Junior Developer</t>
  </si>
  <si>
    <t>UK-1007</t>
  </si>
  <si>
    <t>Amelia Thomas</t>
  </si>
  <si>
    <t>amelia.thomas@email.com</t>
  </si>
  <si>
    <t>Cambridge</t>
  </si>
  <si>
    <t>HR-Payroll</t>
  </si>
  <si>
    <t>Payroll Officer</t>
  </si>
  <si>
    <t>UK-1008</t>
  </si>
  <si>
    <t>George Roberts</t>
  </si>
  <si>
    <t>george.roberts@email.com</t>
  </si>
  <si>
    <t>York</t>
  </si>
  <si>
    <t>Sales Executive</t>
  </si>
  <si>
    <t>UK-1009</t>
  </si>
  <si>
    <t>Isla Johnson</t>
  </si>
  <si>
    <t>isla.johnson@email.com</t>
  </si>
  <si>
    <t>Finance-Audit</t>
  </si>
  <si>
    <t>Audit Assistant</t>
  </si>
  <si>
    <t>UK-1010</t>
  </si>
  <si>
    <t>Charlie Lewis</t>
  </si>
  <si>
    <t>charlie.lewis@email.com</t>
  </si>
  <si>
    <t>Edinburgh</t>
  </si>
  <si>
    <t>IT-Security</t>
  </si>
  <si>
    <t>Security Analyst</t>
  </si>
  <si>
    <t>UK-1011</t>
  </si>
  <si>
    <t xml:space="preserve">  Grace Walker </t>
  </si>
  <si>
    <t xml:space="preserve"> grace.walker@email.com </t>
  </si>
  <si>
    <t>Glasgow</t>
  </si>
  <si>
    <t>Marketing-Content</t>
  </si>
  <si>
    <t>Content Writer</t>
  </si>
  <si>
    <t>UK-1012</t>
  </si>
  <si>
    <t>Henry Hall</t>
  </si>
  <si>
    <t>henry.hall@email.com</t>
  </si>
  <si>
    <t>Cardiff</t>
  </si>
  <si>
    <t>Finance Manager</t>
  </si>
  <si>
    <t>UK-1013</t>
  </si>
  <si>
    <t>Freya Allen</t>
  </si>
  <si>
    <t>freya.allen@email.com</t>
  </si>
  <si>
    <t>Belfast</t>
  </si>
  <si>
    <t>Recruitment Specialist</t>
  </si>
  <si>
    <t>UK-1014</t>
  </si>
  <si>
    <t>Jack Young</t>
  </si>
  <si>
    <t>jack.young@email.com</t>
  </si>
  <si>
    <t>Team Lead</t>
  </si>
  <si>
    <t>UK-1015</t>
  </si>
  <si>
    <t>Task</t>
  </si>
  <si>
    <t>Instruction</t>
  </si>
  <si>
    <t>Function / Concept</t>
  </si>
  <si>
    <t>Task 1</t>
  </si>
  <si>
    <t>Use TRIM to remove extra spaces from FullName and Email.</t>
  </si>
  <si>
    <t>TRIM</t>
  </si>
  <si>
    <t>Task 2</t>
  </si>
  <si>
    <t>Use UPPER to display FullName in uppercase.</t>
  </si>
  <si>
    <t>UPPER</t>
  </si>
  <si>
    <t>Task 3</t>
  </si>
  <si>
    <t>Use LOWER to display FullName in lowercase.</t>
  </si>
  <si>
    <t>LOWER</t>
  </si>
  <si>
    <t>Task 4</t>
  </si>
  <si>
    <t>Use PROPER to convert FullName into proper case.</t>
  </si>
  <si>
    <t>PROPER</t>
  </si>
  <si>
    <t>Task 5</t>
  </si>
  <si>
    <t>Use LEN to find the number of characters in FullName.</t>
  </si>
  <si>
    <t>LEN</t>
  </si>
  <si>
    <t>Task 6</t>
  </si>
  <si>
    <t>Use LEFT to extract the first 3 characters of EmployeeCode.</t>
  </si>
  <si>
    <t>LEFT</t>
  </si>
  <si>
    <t>Task 7</t>
  </si>
  <si>
    <t>Use RIGHT to extract the last 4 digits of EmployeeCode.</t>
  </si>
  <si>
    <t>RIGHT</t>
  </si>
  <si>
    <t>Task 8</t>
  </si>
  <si>
    <t>Use MID to extract the employee number from EmployeeCode (e.g., 1001).</t>
  </si>
  <si>
    <t>MID</t>
  </si>
  <si>
    <t>Task 9</t>
  </si>
  <si>
    <t>Use FIND to locate the position of '@' in Email.</t>
  </si>
  <si>
    <t>FIND</t>
  </si>
  <si>
    <t>Task 10</t>
  </si>
  <si>
    <t>Use SEARCH to find the position of '@' in Email.</t>
  </si>
  <si>
    <t>SEARCH</t>
  </si>
  <si>
    <t>Task 11</t>
  </si>
  <si>
    <t>Use SUBSTITUTE to replace '-' in Department with a space.</t>
  </si>
  <si>
    <t>SUBSTITUTE</t>
  </si>
  <si>
    <t>Task 12</t>
  </si>
  <si>
    <t>Use CONCAT or CONCATENATE to combine FullName and City.</t>
  </si>
  <si>
    <t>CONCAT</t>
  </si>
  <si>
    <t>Task 13</t>
  </si>
  <si>
    <t>Use TEXTJOIN to combine FullName, City and Department with ' | '.</t>
  </si>
  <si>
    <t>TEXTJOIN</t>
  </si>
  <si>
    <t>Task 14</t>
  </si>
  <si>
    <t>Extract the first name from FullName using LEFT and FIND.</t>
  </si>
  <si>
    <t>LEFT + FIND</t>
  </si>
  <si>
    <t>Task 15</t>
  </si>
  <si>
    <t>Extract the last name from FullName using RIGHT, LEN and FIND.</t>
  </si>
  <si>
    <t>RIGHT + LEN + FIND</t>
  </si>
  <si>
    <t>Task 16</t>
  </si>
  <si>
    <t>Extract the email username before '@'.</t>
  </si>
  <si>
    <t>Task 17</t>
  </si>
  <si>
    <t>Extract the email domain after '@'.</t>
  </si>
  <si>
    <t>Task 18</t>
  </si>
  <si>
    <t>Create an employee label such as 'John Smith - IT-Development'.</t>
  </si>
  <si>
    <t>Task 19</t>
  </si>
  <si>
    <t>Check whether the Email contains the text 'email.com' using SEARCH.</t>
  </si>
  <si>
    <t>Task 20</t>
  </si>
  <si>
    <t>Create a cleaned version of FullName and Email using TRIM.</t>
  </si>
  <si>
    <t>Function</t>
  </si>
  <si>
    <t>Purpose</t>
  </si>
  <si>
    <t>Example</t>
  </si>
  <si>
    <t>Removes extra spaces from text.</t>
  </si>
  <si>
    <t>Converts text to uppercase.</t>
  </si>
  <si>
    <t>Converts text to lowercase.</t>
  </si>
  <si>
    <t>Converts text to proper/title case.</t>
  </si>
  <si>
    <t>Counts characters in text.</t>
  </si>
  <si>
    <t>Returns characters from the left.</t>
  </si>
  <si>
    <t>Returns characters from the right.</t>
  </si>
  <si>
    <t>Returns characters from the middle.</t>
  </si>
  <si>
    <t>Finds text position; case-sensitive.</t>
  </si>
  <si>
    <t>Finds text position; not case-sensitive.</t>
  </si>
  <si>
    <t>Replaces matching text.</t>
  </si>
  <si>
    <t>Joins text values together.</t>
  </si>
  <si>
    <t>Joins multiple values with a delimiter.</t>
  </si>
  <si>
    <t>Formula for Row 2</t>
  </si>
  <si>
    <t>Expected Result / Note</t>
  </si>
  <si>
    <t>John Smith</t>
  </si>
  <si>
    <t>JOHN SMITH</t>
  </si>
  <si>
    <t>john smith</t>
  </si>
  <si>
    <t>Counts characters including spaces that remain in the source</t>
  </si>
  <si>
    <t>UK-</t>
  </si>
  <si>
    <t>1001</t>
  </si>
  <si>
    <t>Position of @</t>
  </si>
  <si>
    <t>IT Development</t>
  </si>
  <si>
    <t>John Smith - London</t>
  </si>
  <si>
    <t>Combines the three fields</t>
  </si>
  <si>
    <t>First name</t>
  </si>
  <si>
    <t>Last name</t>
  </si>
  <si>
    <t>Email username</t>
  </si>
  <si>
    <t>Email domain</t>
  </si>
  <si>
    <t>Employee label</t>
  </si>
  <si>
    <t>Yes/No</t>
  </si>
  <si>
    <t>Clean email</t>
  </si>
  <si>
    <t>Emma    Watson</t>
  </si>
  <si>
    <t>aman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</si>
</sst>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workbookViewId="0">
      <pane xSplit="5" ySplit="15" topLeftCell="W16" activePane="bottomRight" state="frozen"/>
      <selection pane="topRight" activeCell="F1" sqref="F1"/>
      <selection pane="bottomLeft" activeCell="A16" sqref="A16"/>
      <selection pane="bottomRight" activeCell="W8" sqref="W8"/>
    </sheetView>
  </sheetViews>
  <sheetFormatPr defaultRowHeight="15" x14ac:dyDescent="0.25"/>
  <cols>
    <col min="1" max="1" width="10" customWidth="1"/>
    <col min="2" max="2" width="22" customWidth="1"/>
    <col min="3" max="3" width="30" customWidth="1"/>
    <col min="4" max="4" width="16" customWidth="1"/>
    <col min="5" max="6" width="22" customWidth="1"/>
    <col min="7" max="7" width="16" customWidth="1"/>
    <col min="8" max="17" width="18" customWidth="1"/>
    <col min="18" max="18" width="33.7109375" bestFit="1" customWidth="1"/>
    <col min="19" max="19" width="33.5703125" bestFit="1" customWidth="1"/>
    <col min="20" max="26" width="18" customWidth="1"/>
  </cols>
  <sheetData>
    <row r="1" spans="1:26" ht="37.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ht="18.75" x14ac:dyDescent="0.3">
      <c r="A2" s="7">
        <v>1001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tr">
        <f>TRIM(B2)</f>
        <v>John Smith</v>
      </c>
      <c r="I2" s="7" t="str">
        <f>UPPER(H2)</f>
        <v>JOHN SMITH</v>
      </c>
      <c r="J2" s="7" t="str">
        <f>LOWER(I2)</f>
        <v>john smith</v>
      </c>
      <c r="K2" s="7" t="str">
        <f>PROPER(I2)</f>
        <v>John Smith</v>
      </c>
      <c r="L2" s="7">
        <f>LEN(K2)</f>
        <v>10</v>
      </c>
      <c r="M2" s="7" t="str">
        <f>LEFT(G2,2)</f>
        <v>UK</v>
      </c>
      <c r="N2" s="7" t="str">
        <f>RIGHT(G2,4)</f>
        <v>1001</v>
      </c>
      <c r="O2" s="7">
        <f>FIND("@",C2)</f>
        <v>11</v>
      </c>
      <c r="P2" s="7">
        <f>SEARCH("@",C2)</f>
        <v>11</v>
      </c>
      <c r="Q2" s="7" t="str">
        <f>LEFT(E2,FIND("-",E2)-1)</f>
        <v>IT</v>
      </c>
      <c r="R2" s="7" t="str">
        <f>_xlfn.CONCAT(B2,"-",D2)</f>
        <v xml:space="preserve">  John Smith  -London</v>
      </c>
      <c r="S2" s="7" t="str">
        <f>_xlfn.TEXTJOIN(",",TRUE,B2,D2)</f>
        <v xml:space="preserve">  John Smith  ,London</v>
      </c>
      <c r="T2" s="7" t="str">
        <f>LEFT(H2,FIND(" ",H2)-1)</f>
        <v>John</v>
      </c>
      <c r="U2" s="7" t="str">
        <f>RIGHT(H2,LEN(H2)-FIND(" ",H2))</f>
        <v>Smith</v>
      </c>
      <c r="V2" s="7"/>
      <c r="W2" s="7"/>
      <c r="X2" s="7"/>
      <c r="Y2" s="7"/>
      <c r="Z2" s="7"/>
    </row>
    <row r="3" spans="1:26" ht="18.75" x14ac:dyDescent="0.3">
      <c r="A3" s="7">
        <v>1002</v>
      </c>
      <c r="B3" s="7" t="s">
        <v>201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tr">
        <f t="shared" ref="H3:H16" si="0">TRIM(B3)</f>
        <v>Emma Watson</v>
      </c>
      <c r="I3" s="7" t="str">
        <f t="shared" ref="I3:I15" si="1">UPPER(H3)</f>
        <v>EMMA WATSON</v>
      </c>
      <c r="J3" s="7" t="str">
        <f t="shared" ref="J3:J16" si="2">LOWER(I3)</f>
        <v>emma watson</v>
      </c>
      <c r="K3" s="7" t="str">
        <f t="shared" ref="K3:K16" si="3">PROPER(I3)</f>
        <v>Emma Watson</v>
      </c>
      <c r="L3" s="7">
        <f t="shared" ref="L3:L15" si="4">LEN(K3)</f>
        <v>11</v>
      </c>
      <c r="M3" s="7" t="str">
        <f t="shared" ref="M3:M16" si="5">LEFT(G3,2)</f>
        <v>UK</v>
      </c>
      <c r="N3" s="7" t="str">
        <f t="shared" ref="N3:N16" si="6">RIGHT(G3,4)</f>
        <v>1002</v>
      </c>
      <c r="O3" s="7">
        <f t="shared" ref="O3:O16" si="7">FIND("@",C3)</f>
        <v>12</v>
      </c>
      <c r="P3" s="7">
        <f t="shared" ref="P3:P15" si="8">SEARCH("@",C3)</f>
        <v>12</v>
      </c>
      <c r="Q3" s="7" t="str">
        <f t="shared" ref="Q3:Q15" si="9">LEFT(E3,FIND("-",E3)-1)</f>
        <v>HR</v>
      </c>
      <c r="R3" s="7" t="str">
        <f t="shared" ref="R3:R16" si="10">_xlfn.CONCAT(B3,"-",D3)</f>
        <v>Emma    Watson-Manchester</v>
      </c>
      <c r="S3" s="7" t="str">
        <f t="shared" ref="S3:S16" si="11">_xlfn.TEXTJOIN(",",TRUE,B3,D3)</f>
        <v>Emma    Watson,Manchester</v>
      </c>
      <c r="T3" s="7" t="str">
        <f t="shared" ref="T3:T16" si="12">LEFT(H3,FIND(" ",H3)-1)</f>
        <v>Emma</v>
      </c>
      <c r="U3" s="7" t="str">
        <f t="shared" ref="U3:U16" si="13">RIGHT(H3,LEN(H3)-FIND(" ",H3))</f>
        <v>Watson</v>
      </c>
      <c r="V3" s="7"/>
      <c r="W3" s="7"/>
      <c r="X3" s="7"/>
      <c r="Y3" s="7"/>
      <c r="Z3" s="7"/>
    </row>
    <row r="4" spans="1:26" ht="18.75" x14ac:dyDescent="0.3">
      <c r="A4" s="7">
        <v>1003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  <c r="G4" s="7" t="s">
        <v>42</v>
      </c>
      <c r="H4" s="7" t="str">
        <f t="shared" si="0"/>
        <v>Liam Brown</v>
      </c>
      <c r="I4" s="7" t="str">
        <f t="shared" si="1"/>
        <v>LIAM BROWN</v>
      </c>
      <c r="J4" s="7" t="str">
        <f t="shared" si="2"/>
        <v>liam brown</v>
      </c>
      <c r="K4" s="7" t="str">
        <f t="shared" si="3"/>
        <v>Liam Brown</v>
      </c>
      <c r="L4" s="7">
        <f t="shared" si="4"/>
        <v>10</v>
      </c>
      <c r="M4" s="7" t="str">
        <f t="shared" si="5"/>
        <v>UK</v>
      </c>
      <c r="N4" s="7" t="str">
        <f t="shared" si="6"/>
        <v>1003</v>
      </c>
      <c r="O4" s="7">
        <f t="shared" si="7"/>
        <v>11</v>
      </c>
      <c r="P4" s="7">
        <f t="shared" si="8"/>
        <v>11</v>
      </c>
      <c r="Q4" s="7" t="str">
        <f t="shared" si="9"/>
        <v>Sales</v>
      </c>
      <c r="R4" s="7" t="str">
        <f t="shared" si="10"/>
        <v>Liam Brown-Birmingham</v>
      </c>
      <c r="S4" s="7" t="str">
        <f t="shared" si="11"/>
        <v>Liam Brown,Birmingham</v>
      </c>
      <c r="T4" s="7" t="str">
        <f t="shared" si="12"/>
        <v>Liam</v>
      </c>
      <c r="U4" s="7" t="str">
        <f t="shared" si="13"/>
        <v>Brown</v>
      </c>
      <c r="V4" s="7"/>
      <c r="W4" s="7"/>
      <c r="X4" s="7"/>
      <c r="Y4" s="7"/>
      <c r="Z4" s="7"/>
    </row>
    <row r="5" spans="1:26" ht="18.75" x14ac:dyDescent="0.3">
      <c r="A5" s="7">
        <v>1004</v>
      </c>
      <c r="B5" s="7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tr">
        <f t="shared" si="0"/>
        <v>Olivia Taylor</v>
      </c>
      <c r="I5" s="7" t="str">
        <f t="shared" si="1"/>
        <v>OLIVIA TAYLOR</v>
      </c>
      <c r="J5" s="7" t="str">
        <f t="shared" si="2"/>
        <v>olivia taylor</v>
      </c>
      <c r="K5" s="7" t="str">
        <f t="shared" si="3"/>
        <v>Olivia Taylor</v>
      </c>
      <c r="L5" s="7">
        <f t="shared" si="4"/>
        <v>13</v>
      </c>
      <c r="M5" s="7" t="str">
        <f t="shared" si="5"/>
        <v>UK</v>
      </c>
      <c r="N5" s="7" t="str">
        <f t="shared" si="6"/>
        <v>1004</v>
      </c>
      <c r="O5" s="7">
        <f t="shared" si="7"/>
        <v>14</v>
      </c>
      <c r="P5" s="7">
        <f t="shared" si="8"/>
        <v>14</v>
      </c>
      <c r="Q5" s="7" t="str">
        <f t="shared" si="9"/>
        <v>Finance</v>
      </c>
      <c r="R5" s="7" t="str">
        <f t="shared" si="10"/>
        <v xml:space="preserve">  Olivia Taylor-Leeds</v>
      </c>
      <c r="S5" s="7" t="str">
        <f t="shared" si="11"/>
        <v xml:space="preserve">  Olivia Taylor,Leeds</v>
      </c>
      <c r="T5" s="7" t="str">
        <f t="shared" si="12"/>
        <v>Olivia</v>
      </c>
      <c r="U5" s="7" t="str">
        <f t="shared" si="13"/>
        <v>Taylor</v>
      </c>
      <c r="V5" s="7"/>
      <c r="W5" s="7"/>
      <c r="X5" s="7"/>
      <c r="Y5" s="7"/>
      <c r="Z5" s="7"/>
    </row>
    <row r="6" spans="1:26" ht="18.75" x14ac:dyDescent="0.3">
      <c r="A6" s="7">
        <v>1005</v>
      </c>
      <c r="B6" s="7" t="s">
        <v>49</v>
      </c>
      <c r="C6" s="7" t="s">
        <v>50</v>
      </c>
      <c r="D6" s="7" t="s">
        <v>51</v>
      </c>
      <c r="E6" s="7" t="s">
        <v>52</v>
      </c>
      <c r="F6" s="7" t="s">
        <v>53</v>
      </c>
      <c r="G6" s="7" t="s">
        <v>54</v>
      </c>
      <c r="H6" s="7" t="str">
        <f t="shared" si="0"/>
        <v>Noah Wilson</v>
      </c>
      <c r="I6" s="7" t="str">
        <f t="shared" si="1"/>
        <v>NOAH WILSON</v>
      </c>
      <c r="J6" s="7" t="str">
        <f t="shared" si="2"/>
        <v>noah wilson</v>
      </c>
      <c r="K6" s="7" t="str">
        <f t="shared" si="3"/>
        <v>Noah Wilson</v>
      </c>
      <c r="L6" s="7">
        <f t="shared" si="4"/>
        <v>11</v>
      </c>
      <c r="M6" s="7" t="str">
        <f t="shared" si="5"/>
        <v>UK</v>
      </c>
      <c r="N6" s="7" t="str">
        <f t="shared" si="6"/>
        <v>1005</v>
      </c>
      <c r="O6" s="7">
        <f t="shared" si="7"/>
        <v>12</v>
      </c>
      <c r="P6" s="7">
        <f t="shared" si="8"/>
        <v>12</v>
      </c>
      <c r="Q6" s="7" t="str">
        <f t="shared" si="9"/>
        <v>IT</v>
      </c>
      <c r="R6" s="7" t="str">
        <f t="shared" si="10"/>
        <v>Noah Wilson-Bristol</v>
      </c>
      <c r="S6" s="7" t="str">
        <f t="shared" si="11"/>
        <v>Noah Wilson,Bristol</v>
      </c>
      <c r="T6" s="7" t="str">
        <f t="shared" si="12"/>
        <v>Noah</v>
      </c>
      <c r="U6" s="7" t="str">
        <f t="shared" si="13"/>
        <v>Wilson</v>
      </c>
      <c r="V6" s="7"/>
      <c r="W6" s="7"/>
      <c r="X6" s="7"/>
      <c r="Y6" s="7"/>
      <c r="Z6" s="7"/>
    </row>
    <row r="7" spans="1:26" ht="18.75" x14ac:dyDescent="0.3">
      <c r="A7" s="7">
        <v>1006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7" t="str">
        <f t="shared" si="0"/>
        <v>Sophia Davies</v>
      </c>
      <c r="I7" s="7" t="str">
        <f t="shared" si="1"/>
        <v>SOPHIA DAVIES</v>
      </c>
      <c r="J7" s="7" t="str">
        <f t="shared" si="2"/>
        <v>sophia davies</v>
      </c>
      <c r="K7" s="7" t="str">
        <f t="shared" si="3"/>
        <v>Sophia Davies</v>
      </c>
      <c r="L7" s="7">
        <f t="shared" si="4"/>
        <v>13</v>
      </c>
      <c r="M7" s="7" t="str">
        <f t="shared" si="5"/>
        <v>UK</v>
      </c>
      <c r="N7" s="7" t="str">
        <f t="shared" si="6"/>
        <v>1006</v>
      </c>
      <c r="O7" s="7">
        <f t="shared" si="7"/>
        <v>14</v>
      </c>
      <c r="P7" s="7">
        <f t="shared" si="8"/>
        <v>14</v>
      </c>
      <c r="Q7" s="7" t="str">
        <f t="shared" si="9"/>
        <v>Marketing</v>
      </c>
      <c r="R7" s="7" t="str">
        <f t="shared" si="10"/>
        <v>Sophia Davies-Liverpool</v>
      </c>
      <c r="S7" s="7" t="str">
        <f t="shared" si="11"/>
        <v>Sophia Davies,Liverpool</v>
      </c>
      <c r="T7" s="7" t="str">
        <f t="shared" si="12"/>
        <v>Sophia</v>
      </c>
      <c r="U7" s="7" t="str">
        <f t="shared" si="13"/>
        <v>Davies</v>
      </c>
      <c r="V7" s="7"/>
      <c r="W7" s="7"/>
      <c r="X7" s="7"/>
      <c r="Y7" s="7"/>
      <c r="Z7" s="7"/>
    </row>
    <row r="8" spans="1:26" ht="18.75" x14ac:dyDescent="0.3">
      <c r="A8" s="7">
        <v>1007</v>
      </c>
      <c r="B8" s="7" t="s">
        <v>61</v>
      </c>
      <c r="C8" s="7" t="s">
        <v>62</v>
      </c>
      <c r="D8" s="7" t="s">
        <v>63</v>
      </c>
      <c r="E8" s="7" t="s">
        <v>29</v>
      </c>
      <c r="F8" s="7" t="s">
        <v>64</v>
      </c>
      <c r="G8" s="7" t="s">
        <v>65</v>
      </c>
      <c r="H8" s="7" t="str">
        <f t="shared" si="0"/>
        <v>James Evans</v>
      </c>
      <c r="I8" s="7" t="str">
        <f t="shared" si="1"/>
        <v>JAMES EVANS</v>
      </c>
      <c r="J8" s="7" t="str">
        <f t="shared" si="2"/>
        <v>james evans</v>
      </c>
      <c r="K8" s="7" t="str">
        <f t="shared" si="3"/>
        <v>James Evans</v>
      </c>
      <c r="L8" s="7">
        <f t="shared" si="4"/>
        <v>11</v>
      </c>
      <c r="M8" s="7" t="str">
        <f t="shared" si="5"/>
        <v>UK</v>
      </c>
      <c r="N8" s="7" t="str">
        <f t="shared" si="6"/>
        <v>1007</v>
      </c>
      <c r="O8" s="7">
        <f t="shared" si="7"/>
        <v>12</v>
      </c>
      <c r="P8" s="7">
        <f t="shared" si="8"/>
        <v>12</v>
      </c>
      <c r="Q8" s="7" t="str">
        <f t="shared" si="9"/>
        <v>IT</v>
      </c>
      <c r="R8" s="7" t="str">
        <f t="shared" si="10"/>
        <v>James Evans-Oxford</v>
      </c>
      <c r="S8" s="7" t="str">
        <f t="shared" si="11"/>
        <v>James Evans,Oxford</v>
      </c>
      <c r="T8" s="7" t="str">
        <f t="shared" si="12"/>
        <v>James</v>
      </c>
      <c r="U8" s="7" t="str">
        <f t="shared" si="13"/>
        <v>Evans</v>
      </c>
      <c r="V8" s="7"/>
      <c r="W8" s="7"/>
      <c r="X8" s="7"/>
      <c r="Y8" s="7"/>
      <c r="Z8" s="7"/>
    </row>
    <row r="9" spans="1:26" ht="18.75" x14ac:dyDescent="0.3">
      <c r="A9" s="7">
        <v>1008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70</v>
      </c>
      <c r="G9" s="7" t="s">
        <v>71</v>
      </c>
      <c r="H9" s="7" t="str">
        <f t="shared" si="0"/>
        <v>Amelia Thomas</v>
      </c>
      <c r="I9" s="7" t="str">
        <f t="shared" si="1"/>
        <v>AMELIA THOMAS</v>
      </c>
      <c r="J9" s="7" t="str">
        <f t="shared" si="2"/>
        <v>amelia thomas</v>
      </c>
      <c r="K9" s="7" t="str">
        <f t="shared" si="3"/>
        <v>Amelia Thomas</v>
      </c>
      <c r="L9" s="7">
        <f t="shared" si="4"/>
        <v>13</v>
      </c>
      <c r="M9" s="7" t="str">
        <f t="shared" si="5"/>
        <v>UK</v>
      </c>
      <c r="N9" s="7" t="str">
        <f t="shared" si="6"/>
        <v>1008</v>
      </c>
      <c r="O9" s="7">
        <f t="shared" si="7"/>
        <v>14</v>
      </c>
      <c r="P9" s="7">
        <f t="shared" si="8"/>
        <v>14</v>
      </c>
      <c r="Q9" s="7" t="str">
        <f t="shared" si="9"/>
        <v>HR</v>
      </c>
      <c r="R9" s="7" t="str">
        <f t="shared" si="10"/>
        <v>Amelia Thomas-Cambridge</v>
      </c>
      <c r="S9" s="7" t="str">
        <f t="shared" si="11"/>
        <v>Amelia Thomas,Cambridge</v>
      </c>
      <c r="T9" s="7" t="str">
        <f t="shared" si="12"/>
        <v>Amelia</v>
      </c>
      <c r="U9" s="7" t="str">
        <f t="shared" si="13"/>
        <v>Thomas</v>
      </c>
      <c r="V9" s="7"/>
      <c r="W9" s="7"/>
      <c r="X9" s="7"/>
      <c r="Y9" s="7"/>
      <c r="Z9" s="7"/>
    </row>
    <row r="10" spans="1:26" ht="18.75" x14ac:dyDescent="0.3">
      <c r="A10" s="7">
        <v>1009</v>
      </c>
      <c r="B10" s="7" t="s">
        <v>72</v>
      </c>
      <c r="C10" s="7" t="s">
        <v>73</v>
      </c>
      <c r="D10" s="7" t="s">
        <v>74</v>
      </c>
      <c r="E10" s="7" t="s">
        <v>40</v>
      </c>
      <c r="F10" s="7" t="s">
        <v>75</v>
      </c>
      <c r="G10" s="7" t="s">
        <v>76</v>
      </c>
      <c r="H10" s="7" t="str">
        <f t="shared" si="0"/>
        <v>George Roberts</v>
      </c>
      <c r="I10" s="7" t="str">
        <f t="shared" si="1"/>
        <v>GEORGE ROBERTS</v>
      </c>
      <c r="J10" s="7" t="str">
        <f t="shared" si="2"/>
        <v>george roberts</v>
      </c>
      <c r="K10" s="7" t="str">
        <f t="shared" si="3"/>
        <v>George Roberts</v>
      </c>
      <c r="L10" s="7">
        <f t="shared" si="4"/>
        <v>14</v>
      </c>
      <c r="M10" s="7" t="str">
        <f t="shared" si="5"/>
        <v>UK</v>
      </c>
      <c r="N10" s="7" t="str">
        <f t="shared" si="6"/>
        <v>1009</v>
      </c>
      <c r="O10" s="7">
        <f t="shared" si="7"/>
        <v>15</v>
      </c>
      <c r="P10" s="7">
        <f t="shared" si="8"/>
        <v>15</v>
      </c>
      <c r="Q10" s="7" t="str">
        <f t="shared" si="9"/>
        <v>Sales</v>
      </c>
      <c r="R10" s="7" t="str">
        <f t="shared" si="10"/>
        <v>George Roberts-York</v>
      </c>
      <c r="S10" s="7" t="str">
        <f t="shared" si="11"/>
        <v>George Roberts,York</v>
      </c>
      <c r="T10" s="7" t="str">
        <f t="shared" si="12"/>
        <v>George</v>
      </c>
      <c r="U10" s="7" t="str">
        <f t="shared" si="13"/>
        <v>Roberts</v>
      </c>
      <c r="V10" s="7"/>
      <c r="W10" s="7"/>
      <c r="X10" s="7"/>
      <c r="Y10" s="7"/>
      <c r="Z10" s="7"/>
    </row>
    <row r="11" spans="1:26" ht="18.75" x14ac:dyDescent="0.3">
      <c r="A11" s="7">
        <v>1010</v>
      </c>
      <c r="B11" s="7" t="s">
        <v>77</v>
      </c>
      <c r="C11" s="7" t="s">
        <v>78</v>
      </c>
      <c r="D11" s="7" t="s">
        <v>28</v>
      </c>
      <c r="E11" s="7" t="s">
        <v>79</v>
      </c>
      <c r="F11" s="7" t="s">
        <v>80</v>
      </c>
      <c r="G11" s="7" t="s">
        <v>81</v>
      </c>
      <c r="H11" s="7" t="str">
        <f t="shared" si="0"/>
        <v>Isla Johnson</v>
      </c>
      <c r="I11" s="7" t="str">
        <f t="shared" si="1"/>
        <v>ISLA JOHNSON</v>
      </c>
      <c r="J11" s="7" t="str">
        <f t="shared" si="2"/>
        <v>isla johnson</v>
      </c>
      <c r="K11" s="7" t="str">
        <f t="shared" si="3"/>
        <v>Isla Johnson</v>
      </c>
      <c r="L11" s="7">
        <f t="shared" si="4"/>
        <v>12</v>
      </c>
      <c r="M11" s="7" t="str">
        <f t="shared" si="5"/>
        <v>UK</v>
      </c>
      <c r="N11" s="7" t="str">
        <f t="shared" si="6"/>
        <v>1010</v>
      </c>
      <c r="O11" s="7">
        <f t="shared" si="7"/>
        <v>13</v>
      </c>
      <c r="P11" s="7">
        <f t="shared" si="8"/>
        <v>13</v>
      </c>
      <c r="Q11" s="7" t="str">
        <f t="shared" si="9"/>
        <v>Finance</v>
      </c>
      <c r="R11" s="7" t="str">
        <f t="shared" si="10"/>
        <v>Isla Johnson-London</v>
      </c>
      <c r="S11" s="7" t="str">
        <f t="shared" si="11"/>
        <v>Isla Johnson,London</v>
      </c>
      <c r="T11" s="7" t="str">
        <f t="shared" si="12"/>
        <v>Isla</v>
      </c>
      <c r="U11" s="7" t="str">
        <f t="shared" si="13"/>
        <v>Johnson</v>
      </c>
      <c r="V11" s="7"/>
      <c r="W11" s="7"/>
      <c r="X11" s="7"/>
      <c r="Y11" s="7"/>
      <c r="Z11" s="7"/>
    </row>
    <row r="12" spans="1:26" ht="18.75" x14ac:dyDescent="0.3">
      <c r="A12" s="7">
        <v>1011</v>
      </c>
      <c r="B12" s="7" t="s">
        <v>82</v>
      </c>
      <c r="C12" s="7" t="s">
        <v>83</v>
      </c>
      <c r="D12" s="7" t="s">
        <v>84</v>
      </c>
      <c r="E12" s="7" t="s">
        <v>85</v>
      </c>
      <c r="F12" s="7" t="s">
        <v>86</v>
      </c>
      <c r="G12" s="7" t="s">
        <v>87</v>
      </c>
      <c r="H12" s="7" t="str">
        <f t="shared" si="0"/>
        <v>Charlie Lewis</v>
      </c>
      <c r="I12" s="7" t="str">
        <f t="shared" si="1"/>
        <v>CHARLIE LEWIS</v>
      </c>
      <c r="J12" s="7" t="str">
        <f t="shared" si="2"/>
        <v>charlie lewis</v>
      </c>
      <c r="K12" s="7" t="str">
        <f t="shared" si="3"/>
        <v>Charlie Lewis</v>
      </c>
      <c r="L12" s="7">
        <f t="shared" si="4"/>
        <v>13</v>
      </c>
      <c r="M12" s="7" t="str">
        <f t="shared" si="5"/>
        <v>UK</v>
      </c>
      <c r="N12" s="7" t="str">
        <f t="shared" si="6"/>
        <v>1011</v>
      </c>
      <c r="O12" s="7">
        <f t="shared" si="7"/>
        <v>14</v>
      </c>
      <c r="P12" s="7">
        <f t="shared" si="8"/>
        <v>14</v>
      </c>
      <c r="Q12" s="7" t="str">
        <f t="shared" si="9"/>
        <v>IT</v>
      </c>
      <c r="R12" s="7" t="str">
        <f t="shared" si="10"/>
        <v>Charlie Lewis-Edinburgh</v>
      </c>
      <c r="S12" s="7" t="str">
        <f t="shared" si="11"/>
        <v>Charlie Lewis,Edinburgh</v>
      </c>
      <c r="T12" s="7" t="str">
        <f t="shared" si="12"/>
        <v>Charlie</v>
      </c>
      <c r="U12" s="7" t="str">
        <f t="shared" si="13"/>
        <v>Lewis</v>
      </c>
      <c r="V12" s="7"/>
      <c r="W12" s="7"/>
      <c r="X12" s="7"/>
      <c r="Y12" s="7"/>
      <c r="Z12" s="7"/>
    </row>
    <row r="13" spans="1:26" ht="18.75" x14ac:dyDescent="0.3">
      <c r="A13" s="7">
        <v>1012</v>
      </c>
      <c r="B13" s="7" t="s">
        <v>88</v>
      </c>
      <c r="C13" s="7" t="s">
        <v>89</v>
      </c>
      <c r="D13" s="7" t="s">
        <v>90</v>
      </c>
      <c r="E13" s="7" t="s">
        <v>91</v>
      </c>
      <c r="F13" s="7" t="s">
        <v>92</v>
      </c>
      <c r="G13" s="7" t="s">
        <v>93</v>
      </c>
      <c r="H13" s="7" t="str">
        <f t="shared" si="0"/>
        <v>Grace Walker</v>
      </c>
      <c r="I13" s="7" t="str">
        <f t="shared" si="1"/>
        <v>GRACE WALKER</v>
      </c>
      <c r="J13" s="7" t="str">
        <f t="shared" si="2"/>
        <v>grace walker</v>
      </c>
      <c r="K13" s="7" t="str">
        <f t="shared" si="3"/>
        <v>Grace Walker</v>
      </c>
      <c r="L13" s="7">
        <f t="shared" si="4"/>
        <v>12</v>
      </c>
      <c r="M13" s="7" t="str">
        <f t="shared" si="5"/>
        <v>UK</v>
      </c>
      <c r="N13" s="7" t="str">
        <f t="shared" si="6"/>
        <v>1012</v>
      </c>
      <c r="O13" s="7">
        <f t="shared" si="7"/>
        <v>14</v>
      </c>
      <c r="P13" s="7">
        <f t="shared" si="8"/>
        <v>14</v>
      </c>
      <c r="Q13" s="7" t="str">
        <f t="shared" si="9"/>
        <v>Marketing</v>
      </c>
      <c r="R13" s="7" t="str">
        <f t="shared" si="10"/>
        <v xml:space="preserve">  Grace Walker -Glasgow</v>
      </c>
      <c r="S13" s="7" t="str">
        <f t="shared" si="11"/>
        <v xml:space="preserve">  Grace Walker ,Glasgow</v>
      </c>
      <c r="T13" s="7" t="str">
        <f t="shared" si="12"/>
        <v>Grace</v>
      </c>
      <c r="U13" s="7" t="str">
        <f t="shared" si="13"/>
        <v>Walker</v>
      </c>
      <c r="V13" s="7"/>
      <c r="W13" s="7"/>
      <c r="X13" s="7"/>
      <c r="Y13" s="7"/>
      <c r="Z13" s="7"/>
    </row>
    <row r="14" spans="1:26" ht="18.75" x14ac:dyDescent="0.3">
      <c r="A14" s="7">
        <v>1013</v>
      </c>
      <c r="B14" s="7" t="s">
        <v>94</v>
      </c>
      <c r="C14" s="7" t="s">
        <v>95</v>
      </c>
      <c r="D14" s="7" t="s">
        <v>96</v>
      </c>
      <c r="E14" s="7" t="s">
        <v>46</v>
      </c>
      <c r="F14" s="7" t="s">
        <v>97</v>
      </c>
      <c r="G14" s="7" t="s">
        <v>98</v>
      </c>
      <c r="H14" s="7" t="str">
        <f t="shared" si="0"/>
        <v>Henry Hall</v>
      </c>
      <c r="I14" s="7" t="str">
        <f t="shared" si="1"/>
        <v>HENRY HALL</v>
      </c>
      <c r="J14" s="7" t="str">
        <f t="shared" si="2"/>
        <v>henry hall</v>
      </c>
      <c r="K14" s="7" t="str">
        <f t="shared" si="3"/>
        <v>Henry Hall</v>
      </c>
      <c r="L14" s="7">
        <f t="shared" si="4"/>
        <v>10</v>
      </c>
      <c r="M14" s="7" t="str">
        <f t="shared" si="5"/>
        <v>UK</v>
      </c>
      <c r="N14" s="7" t="str">
        <f t="shared" si="6"/>
        <v>1013</v>
      </c>
      <c r="O14" s="7">
        <f t="shared" si="7"/>
        <v>11</v>
      </c>
      <c r="P14" s="7">
        <f t="shared" si="8"/>
        <v>11</v>
      </c>
      <c r="Q14" s="7" t="str">
        <f t="shared" si="9"/>
        <v>Finance</v>
      </c>
      <c r="R14" s="7" t="str">
        <f t="shared" si="10"/>
        <v>Henry Hall-Cardiff</v>
      </c>
      <c r="S14" s="7" t="str">
        <f t="shared" si="11"/>
        <v>Henry Hall,Cardiff</v>
      </c>
      <c r="T14" s="7" t="str">
        <f t="shared" si="12"/>
        <v>Henry</v>
      </c>
      <c r="U14" s="7" t="str">
        <f t="shared" si="13"/>
        <v>Hall</v>
      </c>
      <c r="V14" s="7"/>
      <c r="W14" s="7"/>
      <c r="X14" s="7"/>
      <c r="Y14" s="7"/>
      <c r="Z14" s="7"/>
    </row>
    <row r="15" spans="1:26" ht="18.75" x14ac:dyDescent="0.3">
      <c r="A15" s="7">
        <v>1014</v>
      </c>
      <c r="B15" s="7" t="s">
        <v>99</v>
      </c>
      <c r="C15" s="7" t="s">
        <v>100</v>
      </c>
      <c r="D15" s="7" t="s">
        <v>101</v>
      </c>
      <c r="E15" s="7" t="s">
        <v>34</v>
      </c>
      <c r="F15" s="7" t="s">
        <v>102</v>
      </c>
      <c r="G15" s="7" t="s">
        <v>103</v>
      </c>
      <c r="H15" s="7" t="str">
        <f t="shared" si="0"/>
        <v>Freya Allen</v>
      </c>
      <c r="I15" s="7" t="str">
        <f t="shared" si="1"/>
        <v>FREYA ALLEN</v>
      </c>
      <c r="J15" s="7" t="str">
        <f t="shared" si="2"/>
        <v>freya allen</v>
      </c>
      <c r="K15" s="7" t="str">
        <f t="shared" si="3"/>
        <v>Freya Allen</v>
      </c>
      <c r="L15" s="7">
        <f t="shared" si="4"/>
        <v>11</v>
      </c>
      <c r="M15" s="7" t="str">
        <f t="shared" si="5"/>
        <v>UK</v>
      </c>
      <c r="N15" s="7" t="str">
        <f t="shared" si="6"/>
        <v>1014</v>
      </c>
      <c r="O15" s="7">
        <f t="shared" si="7"/>
        <v>12</v>
      </c>
      <c r="P15" s="7">
        <f t="shared" si="8"/>
        <v>12</v>
      </c>
      <c r="Q15" s="7" t="str">
        <f t="shared" si="9"/>
        <v>HR</v>
      </c>
      <c r="R15" s="7" t="str">
        <f t="shared" si="10"/>
        <v>Freya Allen-Belfast</v>
      </c>
      <c r="S15" s="7" t="str">
        <f t="shared" si="11"/>
        <v>Freya Allen,Belfast</v>
      </c>
      <c r="T15" s="7" t="str">
        <f t="shared" si="12"/>
        <v>Freya</v>
      </c>
      <c r="U15" s="7" t="str">
        <f t="shared" si="13"/>
        <v>Allen</v>
      </c>
      <c r="V15" s="7"/>
      <c r="W15" s="7"/>
      <c r="X15" s="7"/>
      <c r="Y15" s="7"/>
      <c r="Z15" s="7"/>
    </row>
    <row r="16" spans="1:26" ht="18.75" x14ac:dyDescent="0.3">
      <c r="A16" s="7">
        <v>1015</v>
      </c>
      <c r="B16" s="7" t="s">
        <v>104</v>
      </c>
      <c r="C16" s="7" t="s">
        <v>105</v>
      </c>
      <c r="D16" s="7" t="s">
        <v>28</v>
      </c>
      <c r="E16" s="7" t="s">
        <v>29</v>
      </c>
      <c r="F16" s="7" t="s">
        <v>106</v>
      </c>
      <c r="G16" s="7" t="s">
        <v>107</v>
      </c>
      <c r="H16" s="7" t="str">
        <f t="shared" si="0"/>
        <v>Jack Young</v>
      </c>
      <c r="I16" s="7" t="str">
        <f>UPPER(H16)</f>
        <v>JACK YOUNG</v>
      </c>
      <c r="J16" s="7" t="str">
        <f t="shared" si="2"/>
        <v>jack young</v>
      </c>
      <c r="K16" s="7" t="str">
        <f t="shared" si="3"/>
        <v>Jack Young</v>
      </c>
      <c r="L16" s="7">
        <f>LEN(K16)</f>
        <v>10</v>
      </c>
      <c r="M16" s="7" t="str">
        <f t="shared" si="5"/>
        <v>UK</v>
      </c>
      <c r="N16" s="7" t="str">
        <f t="shared" si="6"/>
        <v>1015</v>
      </c>
      <c r="O16" s="7">
        <f t="shared" si="7"/>
        <v>11</v>
      </c>
      <c r="P16" s="7">
        <f>SEARCH("@",C16)</f>
        <v>11</v>
      </c>
      <c r="Q16" s="7" t="str">
        <f>LEFT(E16,FIND("-",E16)-1)</f>
        <v>IT</v>
      </c>
      <c r="R16" s="7" t="str">
        <f t="shared" si="10"/>
        <v>Jack Young-London</v>
      </c>
      <c r="S16" s="7" t="str">
        <f t="shared" si="11"/>
        <v>Jack Young,London</v>
      </c>
      <c r="T16" s="7" t="str">
        <f t="shared" si="12"/>
        <v>Jack</v>
      </c>
      <c r="U16" s="7" t="str">
        <f t="shared" si="13"/>
        <v>Young</v>
      </c>
      <c r="V16" s="7"/>
      <c r="W16" s="7"/>
      <c r="X16" s="7"/>
      <c r="Y16" s="7"/>
      <c r="Z16" s="7"/>
    </row>
    <row r="19" spans="19:22" x14ac:dyDescent="0.25">
      <c r="S19" t="s">
        <v>202</v>
      </c>
      <c r="T19">
        <f>LEN(S19)</f>
        <v>11</v>
      </c>
      <c r="U19">
        <f>FIND(" ",S19)</f>
        <v>5</v>
      </c>
      <c r="V19" t="str">
        <f>RIGHT(S19,6)</f>
        <v>sharma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75" customWidth="1"/>
    <col min="3" max="3" width="25" customWidth="1"/>
  </cols>
  <sheetData>
    <row r="1" spans="1:3" x14ac:dyDescent="0.25">
      <c r="A1" s="1" t="s">
        <v>108</v>
      </c>
      <c r="B1" s="1" t="s">
        <v>109</v>
      </c>
      <c r="C1" s="1" t="s">
        <v>110</v>
      </c>
    </row>
    <row r="2" spans="1:3" x14ac:dyDescent="0.25">
      <c r="A2" s="2" t="s">
        <v>111</v>
      </c>
      <c r="B2" s="2" t="s">
        <v>112</v>
      </c>
      <c r="C2" s="2" t="s">
        <v>113</v>
      </c>
    </row>
    <row r="3" spans="1:3" x14ac:dyDescent="0.25">
      <c r="A3" s="2" t="s">
        <v>114</v>
      </c>
      <c r="B3" s="2" t="s">
        <v>115</v>
      </c>
      <c r="C3" s="2" t="s">
        <v>116</v>
      </c>
    </row>
    <row r="4" spans="1:3" x14ac:dyDescent="0.25">
      <c r="A4" s="2" t="s">
        <v>117</v>
      </c>
      <c r="B4" s="2" t="s">
        <v>118</v>
      </c>
      <c r="C4" s="2" t="s">
        <v>119</v>
      </c>
    </row>
    <row r="5" spans="1:3" x14ac:dyDescent="0.25">
      <c r="A5" s="2" t="s">
        <v>120</v>
      </c>
      <c r="B5" s="2" t="s">
        <v>121</v>
      </c>
      <c r="C5" s="2" t="s">
        <v>122</v>
      </c>
    </row>
    <row r="6" spans="1:3" x14ac:dyDescent="0.25">
      <c r="A6" s="2" t="s">
        <v>123</v>
      </c>
      <c r="B6" s="2" t="s">
        <v>124</v>
      </c>
      <c r="C6" s="2" t="s">
        <v>125</v>
      </c>
    </row>
    <row r="7" spans="1:3" x14ac:dyDescent="0.25">
      <c r="A7" s="2" t="s">
        <v>126</v>
      </c>
      <c r="B7" s="2" t="s">
        <v>127</v>
      </c>
      <c r="C7" s="2" t="s">
        <v>128</v>
      </c>
    </row>
    <row r="8" spans="1:3" x14ac:dyDescent="0.25">
      <c r="A8" s="2" t="s">
        <v>129</v>
      </c>
      <c r="B8" s="2" t="s">
        <v>130</v>
      </c>
      <c r="C8" s="2" t="s">
        <v>131</v>
      </c>
    </row>
    <row r="9" spans="1:3" x14ac:dyDescent="0.25">
      <c r="A9" s="2" t="s">
        <v>132</v>
      </c>
      <c r="B9" s="2" t="s">
        <v>133</v>
      </c>
      <c r="C9" s="2" t="s">
        <v>134</v>
      </c>
    </row>
    <row r="10" spans="1:3" x14ac:dyDescent="0.25">
      <c r="A10" s="2" t="s">
        <v>135</v>
      </c>
      <c r="B10" s="2" t="s">
        <v>136</v>
      </c>
      <c r="C10" s="2" t="s">
        <v>137</v>
      </c>
    </row>
    <row r="11" spans="1:3" x14ac:dyDescent="0.25">
      <c r="A11" s="2" t="s">
        <v>138</v>
      </c>
      <c r="B11" s="2" t="s">
        <v>139</v>
      </c>
      <c r="C11" s="2" t="s">
        <v>140</v>
      </c>
    </row>
    <row r="12" spans="1:3" x14ac:dyDescent="0.25">
      <c r="A12" s="2" t="s">
        <v>141</v>
      </c>
      <c r="B12" s="2" t="s">
        <v>142</v>
      </c>
      <c r="C12" s="2" t="s">
        <v>143</v>
      </c>
    </row>
    <row r="13" spans="1:3" x14ac:dyDescent="0.25">
      <c r="A13" s="2" t="s">
        <v>144</v>
      </c>
      <c r="B13" s="2" t="s">
        <v>145</v>
      </c>
      <c r="C13" s="2" t="s">
        <v>146</v>
      </c>
    </row>
    <row r="14" spans="1:3" x14ac:dyDescent="0.25">
      <c r="A14" s="2" t="s">
        <v>147</v>
      </c>
      <c r="B14" s="2" t="s">
        <v>148</v>
      </c>
      <c r="C14" s="2" t="s">
        <v>149</v>
      </c>
    </row>
    <row r="15" spans="1:3" x14ac:dyDescent="0.25">
      <c r="A15" s="2" t="s">
        <v>150</v>
      </c>
      <c r="B15" s="2" t="s">
        <v>151</v>
      </c>
      <c r="C15" s="2" t="s">
        <v>152</v>
      </c>
    </row>
    <row r="16" spans="1:3" x14ac:dyDescent="0.25">
      <c r="A16" s="2" t="s">
        <v>153</v>
      </c>
      <c r="B16" s="2" t="s">
        <v>154</v>
      </c>
      <c r="C16" s="2" t="s">
        <v>155</v>
      </c>
    </row>
    <row r="17" spans="1:3" x14ac:dyDescent="0.25">
      <c r="A17" s="2" t="s">
        <v>156</v>
      </c>
      <c r="B17" s="2" t="s">
        <v>157</v>
      </c>
      <c r="C17" s="2" t="s">
        <v>152</v>
      </c>
    </row>
    <row r="18" spans="1:3" x14ac:dyDescent="0.25">
      <c r="A18" s="2" t="s">
        <v>158</v>
      </c>
      <c r="B18" s="2" t="s">
        <v>159</v>
      </c>
      <c r="C18" s="2" t="s">
        <v>155</v>
      </c>
    </row>
    <row r="19" spans="1:3" x14ac:dyDescent="0.25">
      <c r="A19" s="2" t="s">
        <v>160</v>
      </c>
      <c r="B19" s="2" t="s">
        <v>161</v>
      </c>
      <c r="C19" s="2" t="s">
        <v>146</v>
      </c>
    </row>
    <row r="20" spans="1:3" x14ac:dyDescent="0.25">
      <c r="A20" s="2" t="s">
        <v>162</v>
      </c>
      <c r="B20" s="2" t="s">
        <v>163</v>
      </c>
      <c r="C20" s="2" t="s">
        <v>140</v>
      </c>
    </row>
    <row r="21" spans="1:3" x14ac:dyDescent="0.25">
      <c r="A21" s="2" t="s">
        <v>164</v>
      </c>
      <c r="B21" s="2" t="s">
        <v>165</v>
      </c>
      <c r="C21" s="2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5" x14ac:dyDescent="0.25"/>
  <cols>
    <col min="1" max="1" width="18" customWidth="1"/>
    <col min="2" max="3" width="45" customWidth="1"/>
  </cols>
  <sheetData>
    <row r="1" spans="1:3" x14ac:dyDescent="0.25">
      <c r="A1" s="3" t="s">
        <v>166</v>
      </c>
      <c r="B1" s="3" t="s">
        <v>167</v>
      </c>
      <c r="C1" s="3" t="s">
        <v>168</v>
      </c>
    </row>
    <row r="2" spans="1:3" x14ac:dyDescent="0.25">
      <c r="A2" s="2" t="s">
        <v>113</v>
      </c>
      <c r="B2" s="2" t="s">
        <v>169</v>
      </c>
      <c r="C2" s="2" t="str">
        <f>TRIM(B2)</f>
        <v>Removes extra spaces from text.</v>
      </c>
    </row>
    <row r="3" spans="1:3" x14ac:dyDescent="0.25">
      <c r="A3" s="2" t="s">
        <v>116</v>
      </c>
      <c r="B3" s="2" t="s">
        <v>170</v>
      </c>
      <c r="C3" s="2" t="str">
        <f>UPPER(B2)</f>
        <v>REMOVES EXTRA SPACES FROM TEXT.</v>
      </c>
    </row>
    <row r="4" spans="1:3" x14ac:dyDescent="0.25">
      <c r="A4" s="2" t="s">
        <v>119</v>
      </c>
      <c r="B4" s="2" t="s">
        <v>171</v>
      </c>
      <c r="C4" s="2" t="str">
        <f>LOWER(B2)</f>
        <v>removes extra spaces from text.</v>
      </c>
    </row>
    <row r="5" spans="1:3" x14ac:dyDescent="0.25">
      <c r="A5" s="2" t="s">
        <v>122</v>
      </c>
      <c r="B5" s="2" t="s">
        <v>172</v>
      </c>
      <c r="C5" s="2" t="str">
        <f>PROPER(B2)</f>
        <v>Removes Extra Spaces From Text.</v>
      </c>
    </row>
    <row r="6" spans="1:3" x14ac:dyDescent="0.25">
      <c r="A6" s="2" t="s">
        <v>125</v>
      </c>
      <c r="B6" s="2" t="s">
        <v>173</v>
      </c>
      <c r="C6" s="2">
        <f>LEN(B2)</f>
        <v>31</v>
      </c>
    </row>
    <row r="7" spans="1:3" x14ac:dyDescent="0.25">
      <c r="A7" s="2" t="s">
        <v>128</v>
      </c>
      <c r="B7" s="2" t="s">
        <v>174</v>
      </c>
      <c r="C7" s="2" t="str">
        <f>LEFT(B2,3)</f>
        <v>Rem</v>
      </c>
    </row>
    <row r="8" spans="1:3" x14ac:dyDescent="0.25">
      <c r="A8" s="2" t="s">
        <v>131</v>
      </c>
      <c r="B8" s="2" t="s">
        <v>175</v>
      </c>
      <c r="C8" s="2" t="str">
        <f>RIGHT(B2,4)</f>
        <v>ext.</v>
      </c>
    </row>
    <row r="9" spans="1:3" x14ac:dyDescent="0.25">
      <c r="A9" s="2" t="s">
        <v>134</v>
      </c>
      <c r="B9" s="2" t="s">
        <v>176</v>
      </c>
      <c r="C9" s="2" t="str">
        <f>MID(B2,4,4)</f>
        <v>oves</v>
      </c>
    </row>
    <row r="10" spans="1:3" x14ac:dyDescent="0.25">
      <c r="A10" s="2" t="s">
        <v>137</v>
      </c>
      <c r="B10" s="2" t="s">
        <v>177</v>
      </c>
      <c r="C10" s="2" t="e">
        <f>FIND("@",C2)</f>
        <v>#VALUE!</v>
      </c>
    </row>
    <row r="11" spans="1:3" x14ac:dyDescent="0.25">
      <c r="A11" s="2" t="s">
        <v>140</v>
      </c>
      <c r="B11" s="2" t="s">
        <v>178</v>
      </c>
      <c r="C11" s="2" t="e">
        <f>SEARCH("@",C2)</f>
        <v>#VALUE!</v>
      </c>
    </row>
    <row r="12" spans="1:3" x14ac:dyDescent="0.25">
      <c r="A12" s="2" t="s">
        <v>143</v>
      </c>
      <c r="B12" s="2" t="s">
        <v>179</v>
      </c>
      <c r="C12" s="2" t="str">
        <f>SUBSTITUTE(E2,"-"," ")</f>
        <v/>
      </c>
    </row>
    <row r="13" spans="1:3" x14ac:dyDescent="0.25">
      <c r="A13" s="2" t="s">
        <v>146</v>
      </c>
      <c r="B13" s="2" t="s">
        <v>180</v>
      </c>
      <c r="C13" s="2" t="e">
        <f ca="1">_xludf.CONCAT(B2," - ",D2)</f>
        <v>#NAME?</v>
      </c>
    </row>
    <row r="14" spans="1:3" x14ac:dyDescent="0.25">
      <c r="A14" s="2" t="s">
        <v>149</v>
      </c>
      <c r="B14" s="2" t="s">
        <v>181</v>
      </c>
      <c r="C14" s="2" t="e">
        <f ca="1">_xludf.TEXTJOIN(" | ",TRUE,B2,D2,E2)</f>
        <v>#NAME?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cols>
    <col min="1" max="1" width="12" customWidth="1"/>
    <col min="2" max="2" width="55" customWidth="1"/>
    <col min="3" max="3" width="50" customWidth="1"/>
  </cols>
  <sheetData>
    <row r="1" spans="1:3" x14ac:dyDescent="0.25">
      <c r="A1" s="4" t="s">
        <v>108</v>
      </c>
      <c r="B1" s="4" t="s">
        <v>182</v>
      </c>
      <c r="C1" s="4" t="s">
        <v>183</v>
      </c>
    </row>
    <row r="2" spans="1:3" x14ac:dyDescent="0.25">
      <c r="A2" s="2" t="s">
        <v>111</v>
      </c>
      <c r="B2" s="2" t="str">
        <f ca="1">TRIM(B2)</f>
        <v/>
      </c>
      <c r="C2" s="2" t="s">
        <v>184</v>
      </c>
    </row>
    <row r="3" spans="1:3" x14ac:dyDescent="0.25">
      <c r="A3" s="2" t="s">
        <v>114</v>
      </c>
      <c r="B3" s="2" t="str">
        <f ca="1">UPPER(B2)</f>
        <v/>
      </c>
      <c r="C3" s="2" t="s">
        <v>185</v>
      </c>
    </row>
    <row r="4" spans="1:3" x14ac:dyDescent="0.25">
      <c r="A4" s="2" t="s">
        <v>117</v>
      </c>
      <c r="B4" s="2" t="str">
        <f ca="1">LOWER(B2)</f>
        <v/>
      </c>
      <c r="C4" s="2" t="s">
        <v>186</v>
      </c>
    </row>
    <row r="5" spans="1:3" x14ac:dyDescent="0.25">
      <c r="A5" s="2" t="s">
        <v>120</v>
      </c>
      <c r="B5" s="2" t="str">
        <f ca="1">PROPER(B2)</f>
        <v/>
      </c>
      <c r="C5" s="2" t="s">
        <v>184</v>
      </c>
    </row>
    <row r="6" spans="1:3" ht="30" x14ac:dyDescent="0.25">
      <c r="A6" s="2" t="s">
        <v>123</v>
      </c>
      <c r="B6" s="2" t="str">
        <f ca="1">LEN(B2)</f>
        <v/>
      </c>
      <c r="C6" s="2" t="s">
        <v>187</v>
      </c>
    </row>
    <row r="7" spans="1:3" x14ac:dyDescent="0.25">
      <c r="A7" s="2" t="s">
        <v>126</v>
      </c>
      <c r="B7" s="2" t="str">
        <f>LEFT(G2,3)</f>
        <v/>
      </c>
      <c r="C7" s="2" t="s">
        <v>188</v>
      </c>
    </row>
    <row r="8" spans="1:3" x14ac:dyDescent="0.25">
      <c r="A8" s="2" t="s">
        <v>129</v>
      </c>
      <c r="B8" s="2" t="str">
        <f>RIGHT(G2,4)</f>
        <v/>
      </c>
      <c r="C8" s="2" t="s">
        <v>189</v>
      </c>
    </row>
    <row r="9" spans="1:3" x14ac:dyDescent="0.25">
      <c r="A9" s="2" t="s">
        <v>132</v>
      </c>
      <c r="B9" s="2" t="str">
        <f>MID(G2,4,4)</f>
        <v/>
      </c>
      <c r="C9" s="2" t="s">
        <v>189</v>
      </c>
    </row>
    <row r="10" spans="1:3" x14ac:dyDescent="0.25">
      <c r="A10" s="2" t="s">
        <v>135</v>
      </c>
      <c r="B10" s="2" t="e">
        <f>FIND("@",C2)</f>
        <v>#VALUE!</v>
      </c>
      <c r="C10" s="2" t="s">
        <v>190</v>
      </c>
    </row>
    <row r="11" spans="1:3" x14ac:dyDescent="0.25">
      <c r="A11" s="2" t="s">
        <v>138</v>
      </c>
      <c r="B11" s="2" t="e">
        <f>SEARCH("@",C2)</f>
        <v>#VALUE!</v>
      </c>
      <c r="C11" s="2" t="s">
        <v>190</v>
      </c>
    </row>
    <row r="12" spans="1:3" x14ac:dyDescent="0.25">
      <c r="A12" s="2" t="s">
        <v>141</v>
      </c>
      <c r="B12" s="2" t="str">
        <f>SUBSTITUTE(E2,"-"," ")</f>
        <v/>
      </c>
      <c r="C12" s="2" t="s">
        <v>191</v>
      </c>
    </row>
    <row r="13" spans="1:3" x14ac:dyDescent="0.25">
      <c r="A13" s="2" t="s">
        <v>144</v>
      </c>
      <c r="B13" s="2" t="e">
        <f ca="1">_xludf.CONCAT(B2," - ",D2)</f>
        <v>#NAME?</v>
      </c>
      <c r="C13" s="2" t="s">
        <v>192</v>
      </c>
    </row>
    <row r="14" spans="1:3" x14ac:dyDescent="0.25">
      <c r="A14" s="2" t="s">
        <v>147</v>
      </c>
      <c r="B14" s="2" t="e">
        <f ca="1">_xludf.TEXTJOIN(" | ",TRUE,B2,D2,E2)</f>
        <v>#NAME?</v>
      </c>
      <c r="C14" s="2" t="s">
        <v>193</v>
      </c>
    </row>
    <row r="15" spans="1:3" x14ac:dyDescent="0.25">
      <c r="A15" s="2" t="s">
        <v>150</v>
      </c>
      <c r="B15" s="2" t="str">
        <f ca="1">LEFT(B2,FIND(" ",B2)-1)</f>
        <v/>
      </c>
      <c r="C15" s="2" t="s">
        <v>194</v>
      </c>
    </row>
    <row r="16" spans="1:3" x14ac:dyDescent="0.25">
      <c r="A16" s="2" t="s">
        <v>153</v>
      </c>
      <c r="B16" s="2" t="str">
        <f ca="1">RIGHT(B2,LEN(B2)-FIND(" ",B2))</f>
        <v/>
      </c>
      <c r="C16" s="2" t="s">
        <v>195</v>
      </c>
    </row>
    <row r="17" spans="1:3" x14ac:dyDescent="0.25">
      <c r="A17" s="2" t="s">
        <v>156</v>
      </c>
      <c r="B17" s="2" t="e">
        <f>LEFT(C2,FIND("@",C2)-1)</f>
        <v>#VALUE!</v>
      </c>
      <c r="C17" s="2" t="s">
        <v>196</v>
      </c>
    </row>
    <row r="18" spans="1:3" x14ac:dyDescent="0.25">
      <c r="A18" s="2" t="s">
        <v>158</v>
      </c>
      <c r="B18" s="2" t="e">
        <f>RIGHT(C2,LEN(C2)-FIND("@",C2))</f>
        <v>#VALUE!</v>
      </c>
      <c r="C18" s="2" t="s">
        <v>197</v>
      </c>
    </row>
    <row r="19" spans="1:3" x14ac:dyDescent="0.25">
      <c r="A19" s="2" t="s">
        <v>160</v>
      </c>
      <c r="B19" s="2" t="e">
        <f ca="1">_xludf.CONCAT(B2," - ",E2)</f>
        <v>#NAME?</v>
      </c>
      <c r="C19" s="2" t="s">
        <v>198</v>
      </c>
    </row>
    <row r="20" spans="1:3" x14ac:dyDescent="0.25">
      <c r="A20" s="2" t="s">
        <v>162</v>
      </c>
      <c r="B20" s="2" t="str">
        <f>IF(ISNUMBER(SEARCH("email.com",C2)),"Yes","No")</f>
        <v>No</v>
      </c>
      <c r="C20" s="2" t="s">
        <v>199</v>
      </c>
    </row>
    <row r="21" spans="1:3" x14ac:dyDescent="0.25">
      <c r="A21" s="2" t="s">
        <v>164</v>
      </c>
      <c r="B21" s="2" t="str">
        <f>TRIM(C2)</f>
        <v>John Smith</v>
      </c>
      <c r="C21" s="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 Data</vt:lpstr>
      <vt:lpstr>Tasks</vt:lpstr>
      <vt:lpstr>Function Guide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2026-09-16T05:34:16Z</dcterms:created>
  <dcterms:modified xsi:type="dcterms:W3CDTF">2026-09-16T05:57:23Z</dcterms:modified>
</cp:coreProperties>
</file>