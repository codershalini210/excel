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8_{15EAEA62-FE47-4698-B0DC-80FCAE1BC531}" xr6:coauthVersionLast="47" xr6:coauthVersionMax="47" xr10:uidLastSave="{00000000-0000-0000-0000-000000000000}"/>
  <bookViews>
    <workbookView xWindow="-120" yWindow="-120" windowWidth="20730" windowHeight="11160" activeTab="4" xr2:uid="{28523B12-840D-43BF-BEF5-D3A78D1D69BE}"/>
  </bookViews>
  <sheets>
    <sheet name="Sheet2" sheetId="5" r:id="rId1"/>
    <sheet name="Sheet3" sheetId="6" r:id="rId2"/>
    <sheet name="Sheet4" sheetId="8" r:id="rId3"/>
    <sheet name="Sheet1" sheetId="7" r:id="rId4"/>
    <sheet name="Sheet5" sheetId="9" r:id="rId5"/>
  </sheets>
  <definedNames>
    <definedName name="_xlnm._FilterDatabase" localSheetId="1" hidden="1">Sheet3!$A$1:$J$22</definedName>
    <definedName name="employees">Sheet3!$A$1:$J$22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9" l="1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2" i="9"/>
  <c r="C4" i="7"/>
  <c r="C5" i="7"/>
  <c r="C6" i="7"/>
  <c r="C7" i="7"/>
  <c r="C3" i="7"/>
  <c r="C2" i="7"/>
  <c r="B4" i="7"/>
  <c r="B5" i="7"/>
  <c r="B6" i="7"/>
  <c r="B7" i="7"/>
  <c r="B3" i="7"/>
  <c r="B2" i="7"/>
  <c r="I3" i="6"/>
  <c r="I4" i="6"/>
  <c r="J4" i="6" s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J20" i="6" s="1"/>
  <c r="I21" i="6"/>
  <c r="I22" i="6"/>
  <c r="I2" i="6"/>
  <c r="H3" i="6"/>
  <c r="H4" i="6"/>
  <c r="H5" i="6"/>
  <c r="J5" i="6" s="1"/>
  <c r="H6" i="6"/>
  <c r="H7" i="6"/>
  <c r="H8" i="6"/>
  <c r="H9" i="6"/>
  <c r="J9" i="6" s="1"/>
  <c r="H10" i="6"/>
  <c r="H11" i="6"/>
  <c r="H12" i="6"/>
  <c r="H13" i="6"/>
  <c r="J13" i="6" s="1"/>
  <c r="H14" i="6"/>
  <c r="H15" i="6"/>
  <c r="H16" i="6"/>
  <c r="H17" i="6"/>
  <c r="J17" i="6" s="1"/>
  <c r="H18" i="6"/>
  <c r="H19" i="6"/>
  <c r="H20" i="6"/>
  <c r="H21" i="6"/>
  <c r="J21" i="6" s="1"/>
  <c r="H22" i="6"/>
  <c r="H2" i="6"/>
  <c r="E3" i="5"/>
  <c r="E4" i="5"/>
  <c r="E5" i="5"/>
  <c r="E6" i="5"/>
  <c r="E7" i="5"/>
  <c r="E8" i="5"/>
  <c r="E9" i="5"/>
  <c r="E2" i="5"/>
  <c r="D3" i="5"/>
  <c r="D4" i="5"/>
  <c r="D5" i="5"/>
  <c r="D6" i="5"/>
  <c r="D7" i="5"/>
  <c r="D8" i="5"/>
  <c r="D9" i="5"/>
  <c r="D2" i="5"/>
  <c r="J8" i="6" l="1"/>
  <c r="J2" i="6"/>
  <c r="J19" i="6"/>
  <c r="J15" i="6"/>
  <c r="J11" i="6"/>
  <c r="J7" i="6"/>
  <c r="J3" i="6"/>
  <c r="J16" i="6"/>
  <c r="J12" i="6"/>
  <c r="J22" i="6"/>
  <c r="J18" i="6"/>
  <c r="J14" i="6"/>
  <c r="J10" i="6"/>
  <c r="J6" i="6"/>
</calcChain>
</file>

<file path=xl/sharedStrings.xml><?xml version="1.0" encoding="utf-8"?>
<sst xmlns="http://schemas.openxmlformats.org/spreadsheetml/2006/main" count="437" uniqueCount="133">
  <si>
    <t>Name</t>
  </si>
  <si>
    <t>John</t>
  </si>
  <si>
    <t>Ron</t>
  </si>
  <si>
    <t>Oxana</t>
  </si>
  <si>
    <t>sno</t>
  </si>
  <si>
    <t>name</t>
  </si>
  <si>
    <t>f</t>
  </si>
  <si>
    <t>marks</t>
  </si>
  <si>
    <t>Result</t>
  </si>
  <si>
    <t>Anil</t>
  </si>
  <si>
    <t>Arun</t>
  </si>
  <si>
    <t>Sunday</t>
  </si>
  <si>
    <t>Olivia</t>
  </si>
  <si>
    <t>Alex</t>
  </si>
  <si>
    <t>Grade</t>
  </si>
  <si>
    <t>90+</t>
  </si>
  <si>
    <t>A+</t>
  </si>
  <si>
    <t>80+</t>
  </si>
  <si>
    <t>A</t>
  </si>
  <si>
    <t>70+</t>
  </si>
  <si>
    <t>B+</t>
  </si>
  <si>
    <t>60+</t>
  </si>
  <si>
    <t>B</t>
  </si>
  <si>
    <t>50+</t>
  </si>
  <si>
    <t>c+</t>
  </si>
  <si>
    <t>34+</t>
  </si>
  <si>
    <t>C</t>
  </si>
  <si>
    <t>IT</t>
  </si>
  <si>
    <t>HR</t>
  </si>
  <si>
    <t>Sales</t>
  </si>
  <si>
    <t>EmpID</t>
  </si>
  <si>
    <t>Email</t>
  </si>
  <si>
    <t>Department</t>
  </si>
  <si>
    <t>Salary</t>
  </si>
  <si>
    <t>Exp</t>
  </si>
  <si>
    <t>Rating</t>
  </si>
  <si>
    <t>Amit Sharma</t>
  </si>
  <si>
    <t>amit.sharma@gmail.com</t>
  </si>
  <si>
    <t>Neha Patel</t>
  </si>
  <si>
    <t>neha.patel@gmail.com</t>
  </si>
  <si>
    <t>Raj Verma</t>
  </si>
  <si>
    <t>raj.verma@gmail.com</t>
  </si>
  <si>
    <t>Priya Singh</t>
  </si>
  <si>
    <t>priya.singh@gmail.com</t>
  </si>
  <si>
    <t>Finance</t>
  </si>
  <si>
    <t>Rohit Mehta</t>
  </si>
  <si>
    <t>rohit.mehta@gmail.com</t>
  </si>
  <si>
    <t>Anjali Shah</t>
  </si>
  <si>
    <t>anjali.shah@gmail.com</t>
  </si>
  <si>
    <t>Vikas Gupta</t>
  </si>
  <si>
    <t>vikas.gupta@gmail.com</t>
  </si>
  <si>
    <t>Pooja Joshi</t>
  </si>
  <si>
    <t>pooja.joshi@gmail.com</t>
  </si>
  <si>
    <t>Karan Desai</t>
  </si>
  <si>
    <t>karan.desai@gmail.com</t>
  </si>
  <si>
    <t>Riya Kapoor</t>
  </si>
  <si>
    <t>riya.kapoor@gmail.com</t>
  </si>
  <si>
    <t>Suresh Yadav</t>
  </si>
  <si>
    <t>suresh.yadav@gmail.com</t>
  </si>
  <si>
    <t>Operations</t>
  </si>
  <si>
    <t>Kavita Rao</t>
  </si>
  <si>
    <t>kavita.rao@gmail.com</t>
  </si>
  <si>
    <t>Arjun Malhotra</t>
  </si>
  <si>
    <t>arjun.malhotra@gmail.com</t>
  </si>
  <si>
    <t>Simran Kaur</t>
  </si>
  <si>
    <t>simran.kaur@gmail.com</t>
  </si>
  <si>
    <t>Manish Jain</t>
  </si>
  <si>
    <t>manish.jain@gmail.com</t>
  </si>
  <si>
    <t>Divya Nair</t>
  </si>
  <si>
    <t>divya.nair@gmail.com</t>
  </si>
  <si>
    <t>Akash Kumar</t>
  </si>
  <si>
    <t>akash.kumar@gmail.com</t>
  </si>
  <si>
    <t>Sneha Iyer</t>
  </si>
  <si>
    <t>sneha.iyer@gmail.com</t>
  </si>
  <si>
    <t>Rahul Tiwari</t>
  </si>
  <si>
    <t>rahul.tiwari@gmail.com</t>
  </si>
  <si>
    <t>Meena Joshi</t>
  </si>
  <si>
    <t>meena.joshi@gmail.com</t>
  </si>
  <si>
    <t>Total Emps</t>
  </si>
  <si>
    <t>No of Emps</t>
  </si>
  <si>
    <t>anil@sldfj</t>
  </si>
  <si>
    <t>Net salary</t>
  </si>
  <si>
    <t>bonus(20% ro 3+ rating else 10%)</t>
  </si>
  <si>
    <t>pf(7%)</t>
  </si>
  <si>
    <t>rating &gt;3</t>
  </si>
  <si>
    <t>rating&lt;=3</t>
  </si>
  <si>
    <t>salary&gt;60k</t>
  </si>
  <si>
    <t>salary&lt;60k</t>
  </si>
  <si>
    <t>yrs of exp &lt;2</t>
  </si>
  <si>
    <t>yrs of exp&gt;2</t>
  </si>
  <si>
    <t>Row Labels</t>
  </si>
  <si>
    <t>Grand Total</t>
  </si>
  <si>
    <t>Count of EmpID</t>
  </si>
  <si>
    <t>Sum of Salary</t>
  </si>
  <si>
    <t>max salary</t>
  </si>
  <si>
    <t>OrderID</t>
  </si>
  <si>
    <t>Date</t>
  </si>
  <si>
    <t>Salesperson</t>
  </si>
  <si>
    <t>Region</t>
  </si>
  <si>
    <t>Product</t>
  </si>
  <si>
    <t>Category</t>
  </si>
  <si>
    <t>CustomerType</t>
  </si>
  <si>
    <t>Quantity</t>
  </si>
  <si>
    <t>UnitPrice</t>
  </si>
  <si>
    <t>Discount</t>
  </si>
  <si>
    <t>PaymentMethod</t>
  </si>
  <si>
    <t>Amit</t>
  </si>
  <si>
    <t>North</t>
  </si>
  <si>
    <t>Laptop</t>
  </si>
  <si>
    <t>Electronics</t>
  </si>
  <si>
    <t>Retail</t>
  </si>
  <si>
    <t>Credit Card</t>
  </si>
  <si>
    <t>Neha</t>
  </si>
  <si>
    <t>South</t>
  </si>
  <si>
    <t>Mobile</t>
  </si>
  <si>
    <t>Wholesale</t>
  </si>
  <si>
    <t>UPI</t>
  </si>
  <si>
    <t>Raj</t>
  </si>
  <si>
    <t>East</t>
  </si>
  <si>
    <t>Keyboard</t>
  </si>
  <si>
    <t>Accessories</t>
  </si>
  <si>
    <t>Cash</t>
  </si>
  <si>
    <t>Priya</t>
  </si>
  <si>
    <t>West</t>
  </si>
  <si>
    <t>Monitor</t>
  </si>
  <si>
    <t>Mouse</t>
  </si>
  <si>
    <t>Printer</t>
  </si>
  <si>
    <t>Bank Transfer</t>
  </si>
  <si>
    <t>Chair</t>
  </si>
  <si>
    <t>Furniture</t>
  </si>
  <si>
    <t>Desk</t>
  </si>
  <si>
    <t>net price</t>
  </si>
  <si>
    <t>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</si>
</sst>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8"/>
      <color theme="1"/>
      <name val="Calibri Light"/>
      <family val="2"/>
      <scheme val="major"/>
    </font>
    <font>
      <u/>
      <sz val="18"/>
      <color theme="10"/>
      <name val="Calibri Light"/>
      <family val="2"/>
      <scheme val="major"/>
    </font>
    <font>
      <sz val="16"/>
      <color theme="1"/>
      <name val="Calibri Light"/>
      <family val="2"/>
      <scheme val="major"/>
    </font>
    <font>
      <u/>
      <sz val="16"/>
      <color theme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5" fontId="0" fillId="0" borderId="0" xfId="0" applyNumberForma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66"/>
      <color rgb="FF7FE7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Rathore" refreshedDate="46268.499958680557" createdVersion="8" refreshedVersion="8" minRefreshableVersion="3" recordCount="21" xr:uid="{1D4BF09A-4F21-4DED-86FF-FDA41AB9C0F1}">
  <cacheSource type="worksheet">
    <worksheetSource name="employees"/>
  </cacheSource>
  <cacheFields count="10">
    <cacheField name="EmpID" numFmtId="0">
      <sharedItems containsSemiMixedTypes="0" containsString="0" containsNumber="1" containsInteger="1" minValue="101" maxValue="121"/>
    </cacheField>
    <cacheField name="Name" numFmtId="0">
      <sharedItems/>
    </cacheField>
    <cacheField name="Email" numFmtId="0">
      <sharedItems/>
    </cacheField>
    <cacheField name="Department" numFmtId="0">
      <sharedItems count="5">
        <s v="IT"/>
        <s v="HR"/>
        <s v="Finance"/>
        <s v="Sales"/>
        <s v="Operations"/>
      </sharedItems>
    </cacheField>
    <cacheField name="Salary" numFmtId="0">
      <sharedItems containsSemiMixedTypes="0" containsString="0" containsNumber="1" containsInteger="1" minValue="45000" maxValue="85000"/>
    </cacheField>
    <cacheField name="Exp" numFmtId="0">
      <sharedItems containsSemiMixedTypes="0" containsString="0" containsNumber="1" containsInteger="1" minValue="1" maxValue="8"/>
    </cacheField>
    <cacheField name="Rating" numFmtId="0">
      <sharedItems containsSemiMixedTypes="0" containsString="0" containsNumber="1" containsInteger="1" minValue="2" maxValue="5" count="4">
        <n v="4"/>
        <n v="5"/>
        <n v="3"/>
        <n v="2"/>
      </sharedItems>
    </cacheField>
    <cacheField name="bonus(20% ro 3+ rating else 10%)" numFmtId="0">
      <sharedItems containsSemiMixedTypes="0" containsString="0" containsNumber="1" minValue="4500" maxValue="17000"/>
    </cacheField>
    <cacheField name="pf(7%)" numFmtId="0">
      <sharedItems containsSemiMixedTypes="0" containsString="0" containsNumber="1" minValue="3150.0000000000005" maxValue="5950.0000000000009"/>
    </cacheField>
    <cacheField name="Net salary" numFmtId="0">
      <sharedItems containsSemiMixedTypes="0" containsString="0" containsNumber="1" minValue="46350" maxValue="96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01"/>
    <s v="Amit Sharma"/>
    <s v="amit.sharma@gmail.com"/>
    <x v="0"/>
    <n v="55000"/>
    <n v="2"/>
    <x v="0"/>
    <n v="11000"/>
    <n v="3850.0000000000005"/>
    <n v="62150"/>
  </r>
  <r>
    <n v="102"/>
    <s v="Neha Patel"/>
    <s v="neha.patel@gmail.com"/>
    <x v="1"/>
    <n v="48000"/>
    <n v="3"/>
    <x v="0"/>
    <n v="9600"/>
    <n v="3360.0000000000005"/>
    <n v="54240"/>
  </r>
  <r>
    <n v="103"/>
    <s v="Raj Verma"/>
    <s v="raj.verma@gmail.com"/>
    <x v="0"/>
    <n v="72000"/>
    <n v="5"/>
    <x v="1"/>
    <n v="14400"/>
    <n v="5040.0000000000009"/>
    <n v="81360"/>
  </r>
  <r>
    <n v="104"/>
    <s v="Priya Singh"/>
    <s v="priya.singh@gmail.com"/>
    <x v="2"/>
    <n v="65000"/>
    <n v="4"/>
    <x v="0"/>
    <n v="13000"/>
    <n v="4550"/>
    <n v="73450"/>
  </r>
  <r>
    <n v="105"/>
    <s v="Rohit Mehta"/>
    <s v="rohit.mehta@gmail.com"/>
    <x v="3"/>
    <n v="45000"/>
    <n v="2"/>
    <x v="2"/>
    <n v="4500"/>
    <n v="3150.0000000000005"/>
    <n v="46350"/>
  </r>
  <r>
    <n v="106"/>
    <s v="Anjali Shah"/>
    <s v="anjali.shah@gmail.com"/>
    <x v="0"/>
    <n v="68000"/>
    <n v="4"/>
    <x v="0"/>
    <n v="13600"/>
    <n v="4760"/>
    <n v="76840"/>
  </r>
  <r>
    <n v="107"/>
    <s v="Vikas Gupta"/>
    <s v="vikas.gupta@gmail.com"/>
    <x v="1"/>
    <n v="52000"/>
    <n v="5"/>
    <x v="1"/>
    <n v="10400"/>
    <n v="3640.0000000000005"/>
    <n v="58760"/>
  </r>
  <r>
    <n v="108"/>
    <s v="Pooja Joshi"/>
    <s v="pooja.joshi@gmail.com"/>
    <x v="3"/>
    <n v="58000"/>
    <n v="3"/>
    <x v="0"/>
    <n v="11600"/>
    <n v="4060.0000000000005"/>
    <n v="65540"/>
  </r>
  <r>
    <n v="109"/>
    <s v="Karan Desai"/>
    <s v="karan.desai@gmail.com"/>
    <x v="2"/>
    <n v="75000"/>
    <n v="6"/>
    <x v="1"/>
    <n v="15000"/>
    <n v="5250.0000000000009"/>
    <n v="84750"/>
  </r>
  <r>
    <n v="110"/>
    <s v="Riya Kapoor"/>
    <s v="riya.kapoor@gmail.com"/>
    <x v="0"/>
    <n v="61000"/>
    <n v="3"/>
    <x v="2"/>
    <n v="6100"/>
    <n v="4270"/>
    <n v="62830"/>
  </r>
  <r>
    <n v="111"/>
    <s v="Suresh Yadav"/>
    <s v="suresh.yadav@gmail.com"/>
    <x v="4"/>
    <n v="50000"/>
    <n v="4"/>
    <x v="0"/>
    <n v="10000"/>
    <n v="3500.0000000000005"/>
    <n v="56500"/>
  </r>
  <r>
    <n v="112"/>
    <s v="Kavita Rao"/>
    <s v="kavita.rao@gmail.com"/>
    <x v="1"/>
    <n v="62000"/>
    <n v="6"/>
    <x v="1"/>
    <n v="12400"/>
    <n v="4340"/>
    <n v="70060"/>
  </r>
  <r>
    <n v="113"/>
    <s v="Arjun Malhotra"/>
    <s v="arjun.malhotra@gmail.com"/>
    <x v="3"/>
    <n v="70000"/>
    <n v="7"/>
    <x v="1"/>
    <n v="14000"/>
    <n v="4900.0000000000009"/>
    <n v="79100"/>
  </r>
  <r>
    <n v="114"/>
    <s v="Simran Kaur"/>
    <s v="simran.kaur@gmail.com"/>
    <x v="2"/>
    <n v="54000"/>
    <n v="2"/>
    <x v="2"/>
    <n v="5400"/>
    <n v="3780.0000000000005"/>
    <n v="55620"/>
  </r>
  <r>
    <n v="115"/>
    <s v="Manish Jain"/>
    <s v="manish.jain@gmail.com"/>
    <x v="0"/>
    <n v="85000"/>
    <n v="8"/>
    <x v="1"/>
    <n v="17000"/>
    <n v="5950.0000000000009"/>
    <n v="96050"/>
  </r>
  <r>
    <n v="116"/>
    <s v="Divya Nair"/>
    <s v="divya.nair@gmail.com"/>
    <x v="4"/>
    <n v="57000"/>
    <n v="3"/>
    <x v="0"/>
    <n v="11400"/>
    <n v="3990.0000000000005"/>
    <n v="64410"/>
  </r>
  <r>
    <n v="117"/>
    <s v="Akash Kumar"/>
    <s v="akash.kumar@gmail.com"/>
    <x v="3"/>
    <n v="49000"/>
    <n v="2"/>
    <x v="2"/>
    <n v="4900"/>
    <n v="3430.0000000000005"/>
    <n v="50470"/>
  </r>
  <r>
    <n v="118"/>
    <s v="Sneha Iyer"/>
    <s v="sneha.iyer@gmail.com"/>
    <x v="2"/>
    <n v="69000"/>
    <n v="5"/>
    <x v="0"/>
    <n v="13800"/>
    <n v="4830.0000000000009"/>
    <n v="77970"/>
  </r>
  <r>
    <n v="119"/>
    <s v="Rahul Tiwari"/>
    <s v="rahul.tiwari@gmail.com"/>
    <x v="0"/>
    <n v="76000"/>
    <n v="6"/>
    <x v="1"/>
    <n v="15200"/>
    <n v="5320.0000000000009"/>
    <n v="85880"/>
  </r>
  <r>
    <n v="120"/>
    <s v="Meena Joshi"/>
    <s v="meena.joshi@gmail.com"/>
    <x v="1"/>
    <n v="46000"/>
    <n v="1"/>
    <x v="2"/>
    <n v="4600"/>
    <n v="3220.0000000000005"/>
    <n v="47380"/>
  </r>
  <r>
    <n v="121"/>
    <s v="Anil"/>
    <s v="anil@sldfj"/>
    <x v="0"/>
    <n v="54255"/>
    <n v="6"/>
    <x v="3"/>
    <n v="5425.5"/>
    <n v="3797.8500000000004"/>
    <n v="55882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CC949-D95B-49DC-A929-5A31E54E148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6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C9CCE-D4CC-44EF-BDFE-30BB777F18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7" firstHeaderRow="0" firstDataRow="1" firstDataCol="1"/>
  <pivotFields count="10">
    <pivotField dataField="1"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 of Emps" fld="0" subtotal="count" baseField="3" baseItem="0"/>
    <dataField name="max salary" fld="4" subtotal="max" baseField="3" baseItem="0"/>
    <dataField name="Sum of Salary" fld="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il@sldfj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256B-161B-49CF-A748-848D0CFD9FF9}">
  <dimension ref="A1:I9"/>
  <sheetViews>
    <sheetView workbookViewId="0">
      <selection activeCell="E5" sqref="E5"/>
    </sheetView>
  </sheetViews>
  <sheetFormatPr defaultRowHeight="23.25" x14ac:dyDescent="0.35"/>
  <sheetData>
    <row r="1" spans="1:9" x14ac:dyDescent="0.35">
      <c r="A1" t="s">
        <v>4</v>
      </c>
      <c r="B1" t="s">
        <v>5</v>
      </c>
      <c r="C1" t="s">
        <v>7</v>
      </c>
      <c r="D1" t="s">
        <v>8</v>
      </c>
      <c r="E1" t="s">
        <v>14</v>
      </c>
    </row>
    <row r="2" spans="1:9" x14ac:dyDescent="0.35">
      <c r="A2">
        <v>1</v>
      </c>
      <c r="B2" t="s">
        <v>9</v>
      </c>
      <c r="C2">
        <v>25</v>
      </c>
      <c r="D2" t="str">
        <f>IF(C2&gt;34,"Pass","Fail")</f>
        <v>Fail</v>
      </c>
      <c r="E2" t="str">
        <f>IF(C2&gt;90,"A+",IF(C2&gt;80,"A",IF(C2&gt;70,"B+",IF(C2&gt;60,"B",IF(C2&gt;50,"C+",IF(C2&gt;34,"C","F"))))))</f>
        <v>F</v>
      </c>
    </row>
    <row r="3" spans="1:9" x14ac:dyDescent="0.35">
      <c r="A3">
        <v>2</v>
      </c>
      <c r="B3" t="s">
        <v>10</v>
      </c>
      <c r="C3">
        <v>45</v>
      </c>
      <c r="D3" t="str">
        <f t="shared" ref="D3:D9" si="0">IF(C3&gt;34,"Pass","Fail")</f>
        <v>Pass</v>
      </c>
      <c r="E3" t="str">
        <f t="shared" ref="E3:E9" si="1">IF(C3&gt;90,"A+",IF(C3&gt;80,"A",IF(C3&gt;70,"B+",IF(C3&gt;60,"B",IF(C3&gt;50,"C+",IF(C3&gt;34,"C","F"))))))</f>
        <v>C</v>
      </c>
      <c r="H3" t="s">
        <v>15</v>
      </c>
      <c r="I3" t="s">
        <v>16</v>
      </c>
    </row>
    <row r="4" spans="1:9" x14ac:dyDescent="0.35">
      <c r="A4">
        <v>3</v>
      </c>
      <c r="B4" t="s">
        <v>11</v>
      </c>
      <c r="C4">
        <v>25</v>
      </c>
      <c r="D4" t="str">
        <f t="shared" si="0"/>
        <v>Fail</v>
      </c>
      <c r="E4" t="str">
        <f t="shared" si="1"/>
        <v>F</v>
      </c>
      <c r="H4" t="s">
        <v>17</v>
      </c>
      <c r="I4" t="s">
        <v>18</v>
      </c>
    </row>
    <row r="5" spans="1:9" x14ac:dyDescent="0.35">
      <c r="A5">
        <v>4</v>
      </c>
      <c r="B5" t="s">
        <v>12</v>
      </c>
      <c r="C5">
        <v>85</v>
      </c>
      <c r="D5" t="str">
        <f t="shared" si="0"/>
        <v>Pass</v>
      </c>
      <c r="E5" t="str">
        <f t="shared" si="1"/>
        <v>A</v>
      </c>
      <c r="H5" t="s">
        <v>19</v>
      </c>
      <c r="I5" t="s">
        <v>20</v>
      </c>
    </row>
    <row r="6" spans="1:9" x14ac:dyDescent="0.35">
      <c r="A6">
        <v>5</v>
      </c>
      <c r="B6" t="s">
        <v>13</v>
      </c>
      <c r="C6">
        <v>75</v>
      </c>
      <c r="D6" t="str">
        <f t="shared" si="0"/>
        <v>Pass</v>
      </c>
      <c r="E6" t="str">
        <f t="shared" si="1"/>
        <v>B+</v>
      </c>
      <c r="H6" t="s">
        <v>21</v>
      </c>
      <c r="I6" t="s">
        <v>22</v>
      </c>
    </row>
    <row r="7" spans="1:9" x14ac:dyDescent="0.35">
      <c r="A7">
        <v>6</v>
      </c>
      <c r="B7" t="s">
        <v>3</v>
      </c>
      <c r="C7">
        <v>94</v>
      </c>
      <c r="D7" t="str">
        <f t="shared" si="0"/>
        <v>Pass</v>
      </c>
      <c r="E7" t="str">
        <f t="shared" si="1"/>
        <v>A+</v>
      </c>
      <c r="H7" t="s">
        <v>23</v>
      </c>
      <c r="I7" t="s">
        <v>24</v>
      </c>
    </row>
    <row r="8" spans="1:9" x14ac:dyDescent="0.35">
      <c r="A8">
        <v>7</v>
      </c>
      <c r="B8" t="s">
        <v>1</v>
      </c>
      <c r="C8">
        <v>24</v>
      </c>
      <c r="D8" t="str">
        <f t="shared" si="0"/>
        <v>Fail</v>
      </c>
      <c r="E8" t="str">
        <f t="shared" si="1"/>
        <v>F</v>
      </c>
      <c r="H8" t="s">
        <v>25</v>
      </c>
      <c r="I8" t="s">
        <v>26</v>
      </c>
    </row>
    <row r="9" spans="1:9" x14ac:dyDescent="0.35">
      <c r="A9">
        <v>8</v>
      </c>
      <c r="B9" t="s">
        <v>2</v>
      </c>
      <c r="C9">
        <v>85</v>
      </c>
      <c r="D9" t="str">
        <f t="shared" si="0"/>
        <v>Pass</v>
      </c>
      <c r="E9" t="str">
        <f t="shared" si="1"/>
        <v>A</v>
      </c>
      <c r="I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5B02-807A-43D5-A5BA-91B8A1DFE196}">
  <dimension ref="A1:L22"/>
  <sheetViews>
    <sheetView workbookViewId="0">
      <selection activeCell="E6" sqref="E6"/>
    </sheetView>
  </sheetViews>
  <sheetFormatPr defaultRowHeight="23.25" x14ac:dyDescent="0.35"/>
  <cols>
    <col min="3" max="3" width="11.58203125" customWidth="1"/>
    <col min="6" max="6" width="4.6640625" customWidth="1"/>
    <col min="7" max="7" width="5.5" customWidth="1"/>
    <col min="8" max="8" width="12.75" customWidth="1"/>
    <col min="9" max="9" width="9.58203125" bestFit="1" customWidth="1"/>
    <col min="10" max="10" width="12.08203125" customWidth="1"/>
  </cols>
  <sheetData>
    <row r="1" spans="1:12" ht="42" x14ac:dyDescent="0.35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3" t="s">
        <v>82</v>
      </c>
      <c r="I1" s="1" t="s">
        <v>83</v>
      </c>
      <c r="J1" s="1" t="s">
        <v>81</v>
      </c>
    </row>
    <row r="2" spans="1:12" x14ac:dyDescent="0.35">
      <c r="A2" s="1">
        <v>101</v>
      </c>
      <c r="B2" s="1" t="s">
        <v>36</v>
      </c>
      <c r="C2" s="1" t="s">
        <v>37</v>
      </c>
      <c r="D2" s="1" t="s">
        <v>27</v>
      </c>
      <c r="E2" s="1">
        <v>55000</v>
      </c>
      <c r="F2" s="1">
        <v>2</v>
      </c>
      <c r="G2" s="1">
        <v>4</v>
      </c>
      <c r="H2">
        <f>IF(G2&gt;3,E2*20%,E2*10%)</f>
        <v>11000</v>
      </c>
      <c r="I2">
        <f>E2*7%</f>
        <v>3850.0000000000005</v>
      </c>
      <c r="J2">
        <f>E2+H2-I2</f>
        <v>62150</v>
      </c>
      <c r="L2" s="4"/>
    </row>
    <row r="3" spans="1:12" x14ac:dyDescent="0.35">
      <c r="A3" s="1">
        <v>102</v>
      </c>
      <c r="B3" s="1" t="s">
        <v>38</v>
      </c>
      <c r="C3" s="1" t="s">
        <v>39</v>
      </c>
      <c r="D3" s="1" t="s">
        <v>28</v>
      </c>
      <c r="E3" s="1">
        <v>48000</v>
      </c>
      <c r="F3" s="1">
        <v>3</v>
      </c>
      <c r="G3" s="1">
        <v>4</v>
      </c>
      <c r="H3">
        <f t="shared" ref="H3:H22" si="0">IF(G3&gt;3,E3*20%,E3*10%)</f>
        <v>9600</v>
      </c>
      <c r="I3">
        <f t="shared" ref="I3:I22" si="1">E3*7%</f>
        <v>3360.0000000000005</v>
      </c>
      <c r="J3">
        <f t="shared" ref="J3:J22" si="2">E3+H3-I3</f>
        <v>54240</v>
      </c>
    </row>
    <row r="4" spans="1:12" x14ac:dyDescent="0.35">
      <c r="A4" s="1">
        <v>103</v>
      </c>
      <c r="B4" s="1" t="s">
        <v>40</v>
      </c>
      <c r="C4" s="1" t="s">
        <v>41</v>
      </c>
      <c r="D4" s="1" t="s">
        <v>27</v>
      </c>
      <c r="E4" s="1">
        <v>72000</v>
      </c>
      <c r="F4" s="1">
        <v>5</v>
      </c>
      <c r="G4" s="1">
        <v>5</v>
      </c>
      <c r="H4">
        <f t="shared" si="0"/>
        <v>14400</v>
      </c>
      <c r="I4">
        <f t="shared" si="1"/>
        <v>5040.0000000000009</v>
      </c>
      <c r="J4">
        <f t="shared" si="2"/>
        <v>81360</v>
      </c>
    </row>
    <row r="5" spans="1:12" x14ac:dyDescent="0.35">
      <c r="A5" s="1">
        <v>104</v>
      </c>
      <c r="B5" s="1" t="s">
        <v>42</v>
      </c>
      <c r="C5" s="1" t="s">
        <v>43</v>
      </c>
      <c r="D5" s="1" t="s">
        <v>44</v>
      </c>
      <c r="E5" s="1">
        <v>65000</v>
      </c>
      <c r="F5" s="1">
        <v>4</v>
      </c>
      <c r="G5" s="1">
        <v>4</v>
      </c>
      <c r="H5">
        <f t="shared" si="0"/>
        <v>13000</v>
      </c>
      <c r="I5">
        <f t="shared" si="1"/>
        <v>4550</v>
      </c>
      <c r="J5">
        <f t="shared" si="2"/>
        <v>73450</v>
      </c>
    </row>
    <row r="6" spans="1:12" x14ac:dyDescent="0.35">
      <c r="A6" s="1">
        <v>105</v>
      </c>
      <c r="B6" s="1" t="s">
        <v>45</v>
      </c>
      <c r="C6" s="1" t="s">
        <v>46</v>
      </c>
      <c r="D6" s="1" t="s">
        <v>29</v>
      </c>
      <c r="E6" s="1">
        <v>45000</v>
      </c>
      <c r="F6" s="1">
        <v>2</v>
      </c>
      <c r="G6" s="1">
        <v>3</v>
      </c>
      <c r="H6">
        <f t="shared" si="0"/>
        <v>4500</v>
      </c>
      <c r="I6">
        <f t="shared" si="1"/>
        <v>3150.0000000000005</v>
      </c>
      <c r="J6">
        <f t="shared" si="2"/>
        <v>46350</v>
      </c>
    </row>
    <row r="7" spans="1:12" x14ac:dyDescent="0.35">
      <c r="A7" s="1">
        <v>106</v>
      </c>
      <c r="B7" s="1" t="s">
        <v>47</v>
      </c>
      <c r="C7" s="1" t="s">
        <v>48</v>
      </c>
      <c r="D7" s="1" t="s">
        <v>27</v>
      </c>
      <c r="E7" s="1">
        <v>68000</v>
      </c>
      <c r="F7" s="1">
        <v>4</v>
      </c>
      <c r="G7" s="1">
        <v>4</v>
      </c>
      <c r="H7">
        <f t="shared" si="0"/>
        <v>13600</v>
      </c>
      <c r="I7">
        <f t="shared" si="1"/>
        <v>4760</v>
      </c>
      <c r="J7">
        <f t="shared" si="2"/>
        <v>76840</v>
      </c>
    </row>
    <row r="8" spans="1:12" x14ac:dyDescent="0.35">
      <c r="A8" s="1">
        <v>107</v>
      </c>
      <c r="B8" s="1" t="s">
        <v>49</v>
      </c>
      <c r="C8" s="1" t="s">
        <v>50</v>
      </c>
      <c r="D8" s="1" t="s">
        <v>28</v>
      </c>
      <c r="E8" s="1">
        <v>52000</v>
      </c>
      <c r="F8" s="1">
        <v>5</v>
      </c>
      <c r="G8" s="1">
        <v>5</v>
      </c>
      <c r="H8">
        <f t="shared" si="0"/>
        <v>10400</v>
      </c>
      <c r="I8">
        <f t="shared" si="1"/>
        <v>3640.0000000000005</v>
      </c>
      <c r="J8">
        <f t="shared" si="2"/>
        <v>58760</v>
      </c>
    </row>
    <row r="9" spans="1:12" x14ac:dyDescent="0.35">
      <c r="A9" s="1">
        <v>108</v>
      </c>
      <c r="B9" s="1" t="s">
        <v>51</v>
      </c>
      <c r="C9" s="1" t="s">
        <v>52</v>
      </c>
      <c r="D9" s="1" t="s">
        <v>29</v>
      </c>
      <c r="E9" s="1">
        <v>58000</v>
      </c>
      <c r="F9" s="1">
        <v>3</v>
      </c>
      <c r="G9" s="1">
        <v>4</v>
      </c>
      <c r="H9">
        <f t="shared" si="0"/>
        <v>11600</v>
      </c>
      <c r="I9">
        <f t="shared" si="1"/>
        <v>4060.0000000000005</v>
      </c>
      <c r="J9">
        <f t="shared" si="2"/>
        <v>65540</v>
      </c>
    </row>
    <row r="10" spans="1:12" x14ac:dyDescent="0.35">
      <c r="A10" s="1">
        <v>109</v>
      </c>
      <c r="B10" s="1" t="s">
        <v>53</v>
      </c>
      <c r="C10" s="1" t="s">
        <v>54</v>
      </c>
      <c r="D10" s="1" t="s">
        <v>44</v>
      </c>
      <c r="E10" s="1">
        <v>75000</v>
      </c>
      <c r="F10" s="1">
        <v>6</v>
      </c>
      <c r="G10" s="1">
        <v>5</v>
      </c>
      <c r="H10">
        <f t="shared" si="0"/>
        <v>15000</v>
      </c>
      <c r="I10">
        <f t="shared" si="1"/>
        <v>5250.0000000000009</v>
      </c>
      <c r="J10">
        <f t="shared" si="2"/>
        <v>84750</v>
      </c>
    </row>
    <row r="11" spans="1:12" x14ac:dyDescent="0.35">
      <c r="A11" s="1">
        <v>110</v>
      </c>
      <c r="B11" s="1" t="s">
        <v>55</v>
      </c>
      <c r="C11" s="1" t="s">
        <v>56</v>
      </c>
      <c r="D11" s="1" t="s">
        <v>27</v>
      </c>
      <c r="E11" s="1">
        <v>61000</v>
      </c>
      <c r="F11" s="1">
        <v>3</v>
      </c>
      <c r="G11" s="1">
        <v>3</v>
      </c>
      <c r="H11">
        <f t="shared" si="0"/>
        <v>6100</v>
      </c>
      <c r="I11">
        <f t="shared" si="1"/>
        <v>4270</v>
      </c>
      <c r="J11">
        <f t="shared" si="2"/>
        <v>62830</v>
      </c>
    </row>
    <row r="12" spans="1:12" x14ac:dyDescent="0.35">
      <c r="A12" s="1">
        <v>111</v>
      </c>
      <c r="B12" s="1" t="s">
        <v>57</v>
      </c>
      <c r="C12" s="1" t="s">
        <v>58</v>
      </c>
      <c r="D12" s="1" t="s">
        <v>59</v>
      </c>
      <c r="E12" s="1">
        <v>50000</v>
      </c>
      <c r="F12" s="1">
        <v>4</v>
      </c>
      <c r="G12" s="1">
        <v>4</v>
      </c>
      <c r="H12">
        <f t="shared" si="0"/>
        <v>10000</v>
      </c>
      <c r="I12">
        <f t="shared" si="1"/>
        <v>3500.0000000000005</v>
      </c>
      <c r="J12">
        <f t="shared" si="2"/>
        <v>56500</v>
      </c>
    </row>
    <row r="13" spans="1:12" x14ac:dyDescent="0.35">
      <c r="A13" s="1">
        <v>112</v>
      </c>
      <c r="B13" s="1" t="s">
        <v>60</v>
      </c>
      <c r="C13" s="1" t="s">
        <v>61</v>
      </c>
      <c r="D13" s="1" t="s">
        <v>28</v>
      </c>
      <c r="E13" s="1">
        <v>62000</v>
      </c>
      <c r="F13" s="1">
        <v>6</v>
      </c>
      <c r="G13" s="1">
        <v>5</v>
      </c>
      <c r="H13">
        <f t="shared" si="0"/>
        <v>12400</v>
      </c>
      <c r="I13">
        <f t="shared" si="1"/>
        <v>4340</v>
      </c>
      <c r="J13">
        <f t="shared" si="2"/>
        <v>70060</v>
      </c>
    </row>
    <row r="14" spans="1:12" x14ac:dyDescent="0.35">
      <c r="A14" s="1">
        <v>113</v>
      </c>
      <c r="B14" s="1" t="s">
        <v>62</v>
      </c>
      <c r="C14" s="1" t="s">
        <v>63</v>
      </c>
      <c r="D14" s="1" t="s">
        <v>29</v>
      </c>
      <c r="E14" s="1">
        <v>70000</v>
      </c>
      <c r="F14" s="1">
        <v>7</v>
      </c>
      <c r="G14" s="1">
        <v>5</v>
      </c>
      <c r="H14">
        <f t="shared" si="0"/>
        <v>14000</v>
      </c>
      <c r="I14">
        <f t="shared" si="1"/>
        <v>4900.0000000000009</v>
      </c>
      <c r="J14">
        <f t="shared" si="2"/>
        <v>79100</v>
      </c>
    </row>
    <row r="15" spans="1:12" x14ac:dyDescent="0.35">
      <c r="A15" s="1">
        <v>114</v>
      </c>
      <c r="B15" s="1" t="s">
        <v>64</v>
      </c>
      <c r="C15" s="1" t="s">
        <v>65</v>
      </c>
      <c r="D15" s="1" t="s">
        <v>44</v>
      </c>
      <c r="E15" s="1">
        <v>54000</v>
      </c>
      <c r="F15" s="1">
        <v>2</v>
      </c>
      <c r="G15" s="1">
        <v>3</v>
      </c>
      <c r="H15">
        <f t="shared" si="0"/>
        <v>5400</v>
      </c>
      <c r="I15">
        <f t="shared" si="1"/>
        <v>3780.0000000000005</v>
      </c>
      <c r="J15">
        <f t="shared" si="2"/>
        <v>55620</v>
      </c>
    </row>
    <row r="16" spans="1:12" x14ac:dyDescent="0.35">
      <c r="A16" s="1">
        <v>115</v>
      </c>
      <c r="B16" s="1" t="s">
        <v>66</v>
      </c>
      <c r="C16" s="1" t="s">
        <v>67</v>
      </c>
      <c r="D16" s="1" t="s">
        <v>27</v>
      </c>
      <c r="E16" s="1">
        <v>85000</v>
      </c>
      <c r="F16" s="1">
        <v>8</v>
      </c>
      <c r="G16" s="1">
        <v>5</v>
      </c>
      <c r="H16">
        <f t="shared" si="0"/>
        <v>17000</v>
      </c>
      <c r="I16">
        <f t="shared" si="1"/>
        <v>5950.0000000000009</v>
      </c>
      <c r="J16">
        <f t="shared" si="2"/>
        <v>96050</v>
      </c>
    </row>
    <row r="17" spans="1:10" x14ac:dyDescent="0.35">
      <c r="A17" s="1">
        <v>116</v>
      </c>
      <c r="B17" s="1" t="s">
        <v>68</v>
      </c>
      <c r="C17" s="1" t="s">
        <v>69</v>
      </c>
      <c r="D17" s="1" t="s">
        <v>59</v>
      </c>
      <c r="E17" s="1">
        <v>57000</v>
      </c>
      <c r="F17" s="1">
        <v>3</v>
      </c>
      <c r="G17" s="1">
        <v>4</v>
      </c>
      <c r="H17">
        <f t="shared" si="0"/>
        <v>11400</v>
      </c>
      <c r="I17">
        <f t="shared" si="1"/>
        <v>3990.0000000000005</v>
      </c>
      <c r="J17">
        <f t="shared" si="2"/>
        <v>64410</v>
      </c>
    </row>
    <row r="18" spans="1:10" x14ac:dyDescent="0.35">
      <c r="A18" s="1">
        <v>117</v>
      </c>
      <c r="B18" s="1" t="s">
        <v>70</v>
      </c>
      <c r="C18" s="1" t="s">
        <v>71</v>
      </c>
      <c r="D18" s="1" t="s">
        <v>29</v>
      </c>
      <c r="E18" s="1">
        <v>49000</v>
      </c>
      <c r="F18" s="1">
        <v>2</v>
      </c>
      <c r="G18" s="1">
        <v>3</v>
      </c>
      <c r="H18">
        <f t="shared" si="0"/>
        <v>4900</v>
      </c>
      <c r="I18">
        <f t="shared" si="1"/>
        <v>3430.0000000000005</v>
      </c>
      <c r="J18">
        <f t="shared" si="2"/>
        <v>50470</v>
      </c>
    </row>
    <row r="19" spans="1:10" x14ac:dyDescent="0.35">
      <c r="A19" s="1">
        <v>118</v>
      </c>
      <c r="B19" s="1" t="s">
        <v>72</v>
      </c>
      <c r="C19" s="1" t="s">
        <v>73</v>
      </c>
      <c r="D19" s="1" t="s">
        <v>44</v>
      </c>
      <c r="E19" s="1">
        <v>69000</v>
      </c>
      <c r="F19" s="1">
        <v>5</v>
      </c>
      <c r="G19" s="1">
        <v>4</v>
      </c>
      <c r="H19">
        <f t="shared" si="0"/>
        <v>13800</v>
      </c>
      <c r="I19">
        <f t="shared" si="1"/>
        <v>4830.0000000000009</v>
      </c>
      <c r="J19">
        <f t="shared" si="2"/>
        <v>77970</v>
      </c>
    </row>
    <row r="20" spans="1:10" x14ac:dyDescent="0.35">
      <c r="A20" s="1">
        <v>119</v>
      </c>
      <c r="B20" s="1" t="s">
        <v>74</v>
      </c>
      <c r="C20" s="1" t="s">
        <v>75</v>
      </c>
      <c r="D20" s="1" t="s">
        <v>27</v>
      </c>
      <c r="E20" s="1">
        <v>76000</v>
      </c>
      <c r="F20" s="1">
        <v>6</v>
      </c>
      <c r="G20" s="1">
        <v>5</v>
      </c>
      <c r="H20">
        <f t="shared" si="0"/>
        <v>15200</v>
      </c>
      <c r="I20">
        <f t="shared" si="1"/>
        <v>5320.0000000000009</v>
      </c>
      <c r="J20">
        <f t="shared" si="2"/>
        <v>85880</v>
      </c>
    </row>
    <row r="21" spans="1:10" x14ac:dyDescent="0.35">
      <c r="A21" s="1">
        <v>120</v>
      </c>
      <c r="B21" s="1" t="s">
        <v>76</v>
      </c>
      <c r="C21" s="1" t="s">
        <v>77</v>
      </c>
      <c r="D21" s="1" t="s">
        <v>28</v>
      </c>
      <c r="E21" s="1">
        <v>46000</v>
      </c>
      <c r="F21" s="1">
        <v>1</v>
      </c>
      <c r="G21" s="1">
        <v>3</v>
      </c>
      <c r="H21">
        <f t="shared" si="0"/>
        <v>4600</v>
      </c>
      <c r="I21">
        <f t="shared" si="1"/>
        <v>3220.0000000000005</v>
      </c>
      <c r="J21">
        <f t="shared" si="2"/>
        <v>47380</v>
      </c>
    </row>
    <row r="22" spans="1:10" x14ac:dyDescent="0.35">
      <c r="A22" s="1">
        <v>121</v>
      </c>
      <c r="B22" s="1" t="s">
        <v>9</v>
      </c>
      <c r="C22" s="2" t="s">
        <v>80</v>
      </c>
      <c r="D22" s="1" t="s">
        <v>27</v>
      </c>
      <c r="E22" s="1">
        <v>54255</v>
      </c>
      <c r="F22" s="1">
        <v>6</v>
      </c>
      <c r="G22" s="1">
        <v>2</v>
      </c>
      <c r="H22">
        <f t="shared" si="0"/>
        <v>5425.5</v>
      </c>
      <c r="I22">
        <f t="shared" si="1"/>
        <v>3797.8500000000004</v>
      </c>
      <c r="J22">
        <f t="shared" si="2"/>
        <v>55882.65</v>
      </c>
    </row>
  </sheetData>
  <hyperlinks>
    <hyperlink ref="C22" r:id="rId1" xr:uid="{8426CEE3-FD72-40E6-ADDE-BF098B9DBD0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E8A3-2D72-4A2C-BAA3-D18C1391EDF9}">
  <dimension ref="A1:G7"/>
  <sheetViews>
    <sheetView workbookViewId="0">
      <selection activeCell="F3" sqref="F3"/>
    </sheetView>
  </sheetViews>
  <sheetFormatPr defaultRowHeight="23.25" x14ac:dyDescent="0.35"/>
  <cols>
    <col min="1" max="1" width="12" bestFit="1" customWidth="1"/>
    <col min="2" max="2" width="10.9140625" bestFit="1" customWidth="1"/>
    <col min="3" max="3" width="10.08203125" bestFit="1" customWidth="1"/>
    <col min="4" max="4" width="12.75" bestFit="1" customWidth="1"/>
    <col min="6" max="6" width="12" bestFit="1" customWidth="1"/>
    <col min="7" max="7" width="14.83203125" bestFit="1" customWidth="1"/>
  </cols>
  <sheetData>
    <row r="1" spans="1:7" x14ac:dyDescent="0.35">
      <c r="A1" s="5" t="s">
        <v>90</v>
      </c>
      <c r="B1" t="s">
        <v>79</v>
      </c>
      <c r="C1" t="s">
        <v>94</v>
      </c>
      <c r="D1" t="s">
        <v>93</v>
      </c>
      <c r="F1" s="5" t="s">
        <v>90</v>
      </c>
      <c r="G1" t="s">
        <v>92</v>
      </c>
    </row>
    <row r="2" spans="1:7" x14ac:dyDescent="0.35">
      <c r="A2" s="6" t="s">
        <v>44</v>
      </c>
      <c r="B2">
        <v>4</v>
      </c>
      <c r="C2">
        <v>75000</v>
      </c>
      <c r="D2">
        <v>263000</v>
      </c>
      <c r="F2" s="6">
        <v>2</v>
      </c>
      <c r="G2">
        <v>1</v>
      </c>
    </row>
    <row r="3" spans="1:7" x14ac:dyDescent="0.35">
      <c r="A3" s="6" t="s">
        <v>28</v>
      </c>
      <c r="B3">
        <v>4</v>
      </c>
      <c r="C3">
        <v>62000</v>
      </c>
      <c r="D3">
        <v>208000</v>
      </c>
      <c r="F3" s="6">
        <v>3</v>
      </c>
      <c r="G3">
        <v>5</v>
      </c>
    </row>
    <row r="4" spans="1:7" x14ac:dyDescent="0.35">
      <c r="A4" s="6" t="s">
        <v>27</v>
      </c>
      <c r="B4">
        <v>7</v>
      </c>
      <c r="C4">
        <v>85000</v>
      </c>
      <c r="D4">
        <v>471255</v>
      </c>
      <c r="F4" s="6">
        <v>4</v>
      </c>
      <c r="G4">
        <v>8</v>
      </c>
    </row>
    <row r="5" spans="1:7" x14ac:dyDescent="0.35">
      <c r="A5" s="6" t="s">
        <v>59</v>
      </c>
      <c r="B5">
        <v>2</v>
      </c>
      <c r="C5">
        <v>57000</v>
      </c>
      <c r="D5">
        <v>107000</v>
      </c>
      <c r="F5" s="6">
        <v>5</v>
      </c>
      <c r="G5">
        <v>7</v>
      </c>
    </row>
    <row r="6" spans="1:7" x14ac:dyDescent="0.35">
      <c r="A6" s="6" t="s">
        <v>29</v>
      </c>
      <c r="B6">
        <v>4</v>
      </c>
      <c r="C6">
        <v>70000</v>
      </c>
      <c r="D6">
        <v>222000</v>
      </c>
      <c r="F6" s="6" t="s">
        <v>91</v>
      </c>
      <c r="G6">
        <v>21</v>
      </c>
    </row>
    <row r="7" spans="1:7" x14ac:dyDescent="0.35">
      <c r="A7" s="6" t="s">
        <v>91</v>
      </c>
      <c r="B7">
        <v>21</v>
      </c>
      <c r="C7">
        <v>85000</v>
      </c>
      <c r="D7">
        <v>1271255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24F7-B3E6-46FC-B321-E8F56864C53A}">
  <dimension ref="A1:H7"/>
  <sheetViews>
    <sheetView workbookViewId="0">
      <selection activeCell="C3" sqref="C3"/>
    </sheetView>
  </sheetViews>
  <sheetFormatPr defaultRowHeight="23.25" x14ac:dyDescent="0.35"/>
  <cols>
    <col min="2" max="2" width="10.1640625" customWidth="1"/>
  </cols>
  <sheetData>
    <row r="1" spans="1:8" x14ac:dyDescent="0.35"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 x14ac:dyDescent="0.35">
      <c r="A2" s="1" t="s">
        <v>78</v>
      </c>
      <c r="B2">
        <f>COUNT(Sheet3!A:A)</f>
        <v>21</v>
      </c>
      <c r="C2">
        <f>COUNTIF(Sheet3!G:G,"&gt;3")</f>
        <v>15</v>
      </c>
    </row>
    <row r="3" spans="1:8" x14ac:dyDescent="0.35">
      <c r="A3" s="1" t="s">
        <v>27</v>
      </c>
      <c r="B3">
        <f>COUNTIF(Sheet3!D:D,A3)</f>
        <v>7</v>
      </c>
      <c r="C3">
        <f>COUNTIFS(Sheet3!D:D,A3,Sheet3!G:G,"&gt;3")</f>
        <v>5</v>
      </c>
    </row>
    <row r="4" spans="1:8" x14ac:dyDescent="0.35">
      <c r="A4" s="1" t="s">
        <v>28</v>
      </c>
      <c r="B4">
        <f>COUNTIF(Sheet3!D:D,A4)</f>
        <v>4</v>
      </c>
      <c r="C4">
        <f>COUNTIFS(Sheet3!D:D,A4,Sheet3!G:G,"&gt;3")</f>
        <v>3</v>
      </c>
    </row>
    <row r="5" spans="1:8" x14ac:dyDescent="0.35">
      <c r="A5" s="1" t="s">
        <v>44</v>
      </c>
      <c r="B5">
        <f>COUNTIF(Sheet3!D:D,A5)</f>
        <v>4</v>
      </c>
      <c r="C5">
        <f>COUNTIFS(Sheet3!D:D,A5,Sheet3!G:G,"&gt;3")</f>
        <v>3</v>
      </c>
    </row>
    <row r="6" spans="1:8" x14ac:dyDescent="0.35">
      <c r="A6" s="1" t="s">
        <v>29</v>
      </c>
      <c r="B6">
        <f>COUNTIF(Sheet3!D:D,A6)</f>
        <v>4</v>
      </c>
      <c r="C6">
        <f>COUNTIFS(Sheet3!D:D,A6,Sheet3!G:G,"&gt;3")</f>
        <v>2</v>
      </c>
    </row>
    <row r="7" spans="1:8" x14ac:dyDescent="0.35">
      <c r="A7" s="1" t="s">
        <v>59</v>
      </c>
      <c r="B7">
        <f>COUNTIF(Sheet3!D:D,A7)</f>
        <v>2</v>
      </c>
      <c r="C7">
        <f>COUNTIFS(Sheet3!D:D,A7,Sheet3!G:G,"&gt;3")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33B2-27CD-48BE-8646-C4A8176A1B3D}">
  <dimension ref="A1:M51"/>
  <sheetViews>
    <sheetView tabSelected="1" workbookViewId="0">
      <selection activeCell="A8" sqref="A8"/>
    </sheetView>
  </sheetViews>
  <sheetFormatPr defaultRowHeight="23.25" x14ac:dyDescent="0.35"/>
  <cols>
    <col min="1" max="1" width="7.1640625" bestFit="1" customWidth="1"/>
    <col min="2" max="2" width="9.4140625" bestFit="1" customWidth="1"/>
    <col min="3" max="3" width="10.25" bestFit="1" customWidth="1"/>
    <col min="4" max="4" width="6.25" bestFit="1" customWidth="1"/>
    <col min="5" max="5" width="8.33203125" bestFit="1" customWidth="1"/>
    <col min="6" max="6" width="10" bestFit="1" customWidth="1"/>
    <col min="7" max="7" width="12.5" bestFit="1" customWidth="1"/>
    <col min="8" max="8" width="7.6640625" bestFit="1" customWidth="1"/>
    <col min="9" max="9" width="8" bestFit="1" customWidth="1"/>
    <col min="10" max="10" width="7.75" bestFit="1" customWidth="1"/>
    <col min="11" max="11" width="14.33203125" bestFit="1" customWidth="1"/>
  </cols>
  <sheetData>
    <row r="1" spans="1:13" x14ac:dyDescent="0.3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131</v>
      </c>
      <c r="M1" t="s">
        <v>132</v>
      </c>
    </row>
    <row r="2" spans="1:13" x14ac:dyDescent="0.35">
      <c r="A2">
        <v>1001</v>
      </c>
      <c r="B2" s="7">
        <v>45662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>
        <v>2</v>
      </c>
      <c r="I2">
        <v>55000</v>
      </c>
      <c r="J2" s="8">
        <v>0.05</v>
      </c>
      <c r="K2" t="s">
        <v>111</v>
      </c>
      <c r="L2">
        <f>I2- (I2*J2)</f>
        <v>52250</v>
      </c>
      <c r="M2">
        <f>L2*H2</f>
        <v>104500</v>
      </c>
    </row>
    <row r="3" spans="1:13" x14ac:dyDescent="0.35">
      <c r="A3">
        <v>1002</v>
      </c>
      <c r="B3" s="7">
        <v>45664</v>
      </c>
      <c r="C3" t="s">
        <v>112</v>
      </c>
      <c r="D3" t="s">
        <v>113</v>
      </c>
      <c r="E3" t="s">
        <v>114</v>
      </c>
      <c r="F3" t="s">
        <v>109</v>
      </c>
      <c r="G3" t="s">
        <v>115</v>
      </c>
      <c r="H3">
        <v>5</v>
      </c>
      <c r="I3">
        <v>22000</v>
      </c>
      <c r="J3" s="8">
        <v>0.1</v>
      </c>
      <c r="K3" t="s">
        <v>116</v>
      </c>
      <c r="L3">
        <f t="shared" ref="L3:L51" si="0">I3- (I3*J3)</f>
        <v>19800</v>
      </c>
      <c r="M3">
        <f t="shared" ref="M3:M51" si="1">L3*H3</f>
        <v>99000</v>
      </c>
    </row>
    <row r="4" spans="1:13" x14ac:dyDescent="0.35">
      <c r="A4">
        <v>1003</v>
      </c>
      <c r="B4" s="7">
        <v>45667</v>
      </c>
      <c r="C4" t="s">
        <v>117</v>
      </c>
      <c r="D4" t="s">
        <v>118</v>
      </c>
      <c r="E4" t="s">
        <v>119</v>
      </c>
      <c r="F4" t="s">
        <v>120</v>
      </c>
      <c r="G4" t="s">
        <v>110</v>
      </c>
      <c r="H4">
        <v>8</v>
      </c>
      <c r="I4">
        <v>1200</v>
      </c>
      <c r="J4" s="8">
        <v>0</v>
      </c>
      <c r="K4" t="s">
        <v>121</v>
      </c>
      <c r="L4">
        <f t="shared" si="0"/>
        <v>1200</v>
      </c>
      <c r="M4">
        <f t="shared" si="1"/>
        <v>9600</v>
      </c>
    </row>
    <row r="5" spans="1:13" x14ac:dyDescent="0.35">
      <c r="A5">
        <v>1004</v>
      </c>
      <c r="B5" s="7">
        <v>45669</v>
      </c>
      <c r="C5" t="s">
        <v>122</v>
      </c>
      <c r="D5" t="s">
        <v>123</v>
      </c>
      <c r="E5" t="s">
        <v>124</v>
      </c>
      <c r="F5" t="s">
        <v>109</v>
      </c>
      <c r="G5" t="s">
        <v>110</v>
      </c>
      <c r="H5">
        <v>3</v>
      </c>
      <c r="I5">
        <v>15000</v>
      </c>
      <c r="J5" s="8">
        <v>0.05</v>
      </c>
      <c r="K5" t="s">
        <v>111</v>
      </c>
      <c r="L5">
        <f t="shared" si="0"/>
        <v>14250</v>
      </c>
      <c r="M5">
        <f t="shared" si="1"/>
        <v>42750</v>
      </c>
    </row>
    <row r="6" spans="1:13" x14ac:dyDescent="0.35">
      <c r="A6">
        <v>1005</v>
      </c>
      <c r="B6" s="7">
        <v>45672</v>
      </c>
      <c r="C6" t="s">
        <v>106</v>
      </c>
      <c r="D6" t="s">
        <v>107</v>
      </c>
      <c r="E6" t="s">
        <v>125</v>
      </c>
      <c r="F6" t="s">
        <v>120</v>
      </c>
      <c r="G6" t="s">
        <v>115</v>
      </c>
      <c r="H6">
        <v>10</v>
      </c>
      <c r="I6">
        <v>800</v>
      </c>
      <c r="J6" s="8">
        <v>0.1</v>
      </c>
      <c r="K6" t="s">
        <v>116</v>
      </c>
      <c r="L6">
        <f t="shared" si="0"/>
        <v>720</v>
      </c>
      <c r="M6">
        <f t="shared" si="1"/>
        <v>7200</v>
      </c>
    </row>
    <row r="7" spans="1:13" x14ac:dyDescent="0.35">
      <c r="A7">
        <v>1006</v>
      </c>
      <c r="B7" s="7">
        <v>45675</v>
      </c>
      <c r="C7" t="s">
        <v>112</v>
      </c>
      <c r="D7" t="s">
        <v>113</v>
      </c>
      <c r="E7" t="s">
        <v>108</v>
      </c>
      <c r="F7" t="s">
        <v>109</v>
      </c>
      <c r="G7" t="s">
        <v>110</v>
      </c>
      <c r="H7">
        <v>1</v>
      </c>
      <c r="I7">
        <v>55000</v>
      </c>
      <c r="J7" s="8">
        <v>0.05</v>
      </c>
      <c r="K7" t="s">
        <v>121</v>
      </c>
      <c r="L7">
        <f t="shared" si="0"/>
        <v>52250</v>
      </c>
      <c r="M7">
        <f t="shared" si="1"/>
        <v>52250</v>
      </c>
    </row>
    <row r="8" spans="1:13" x14ac:dyDescent="0.35">
      <c r="A8">
        <v>1007</v>
      </c>
      <c r="B8" s="7">
        <v>45678</v>
      </c>
      <c r="C8" t="s">
        <v>117</v>
      </c>
      <c r="D8" t="s">
        <v>118</v>
      </c>
      <c r="E8" t="s">
        <v>126</v>
      </c>
      <c r="F8" t="s">
        <v>109</v>
      </c>
      <c r="G8" t="s">
        <v>115</v>
      </c>
      <c r="H8">
        <v>4</v>
      </c>
      <c r="I8">
        <v>18000</v>
      </c>
      <c r="J8" s="8">
        <v>0.08</v>
      </c>
      <c r="K8" t="s">
        <v>127</v>
      </c>
      <c r="L8">
        <f t="shared" si="0"/>
        <v>16560</v>
      </c>
      <c r="M8">
        <f t="shared" si="1"/>
        <v>66240</v>
      </c>
    </row>
    <row r="9" spans="1:13" x14ac:dyDescent="0.35">
      <c r="A9">
        <v>1008</v>
      </c>
      <c r="B9" s="7">
        <v>45682</v>
      </c>
      <c r="C9" t="s">
        <v>122</v>
      </c>
      <c r="D9" t="s">
        <v>123</v>
      </c>
      <c r="E9" t="s">
        <v>128</v>
      </c>
      <c r="F9" t="s">
        <v>129</v>
      </c>
      <c r="G9" t="s">
        <v>110</v>
      </c>
      <c r="H9">
        <v>6</v>
      </c>
      <c r="I9">
        <v>6500</v>
      </c>
      <c r="J9" s="8">
        <v>0.05</v>
      </c>
      <c r="K9" t="s">
        <v>111</v>
      </c>
      <c r="L9">
        <f t="shared" si="0"/>
        <v>6175</v>
      </c>
      <c r="M9">
        <f t="shared" si="1"/>
        <v>37050</v>
      </c>
    </row>
    <row r="10" spans="1:13" x14ac:dyDescent="0.35">
      <c r="A10">
        <v>1009</v>
      </c>
      <c r="B10" s="7">
        <v>45685</v>
      </c>
      <c r="C10" t="s">
        <v>106</v>
      </c>
      <c r="D10" t="s">
        <v>107</v>
      </c>
      <c r="E10" t="s">
        <v>130</v>
      </c>
      <c r="F10" t="s">
        <v>129</v>
      </c>
      <c r="G10" t="s">
        <v>115</v>
      </c>
      <c r="H10">
        <v>3</v>
      </c>
      <c r="I10">
        <v>12000</v>
      </c>
      <c r="J10" s="8">
        <v>0.1</v>
      </c>
      <c r="K10" t="s">
        <v>116</v>
      </c>
      <c r="L10">
        <f t="shared" si="0"/>
        <v>10800</v>
      </c>
      <c r="M10">
        <f t="shared" si="1"/>
        <v>32400</v>
      </c>
    </row>
    <row r="11" spans="1:13" x14ac:dyDescent="0.35">
      <c r="A11">
        <v>1010</v>
      </c>
      <c r="B11" s="7">
        <v>45687</v>
      </c>
      <c r="C11" t="s">
        <v>112</v>
      </c>
      <c r="D11" t="s">
        <v>113</v>
      </c>
      <c r="E11" t="s">
        <v>114</v>
      </c>
      <c r="F11" t="s">
        <v>109</v>
      </c>
      <c r="G11" t="s">
        <v>110</v>
      </c>
      <c r="H11">
        <v>4</v>
      </c>
      <c r="I11">
        <v>22000</v>
      </c>
      <c r="J11" s="8">
        <v>0.05</v>
      </c>
      <c r="K11" t="s">
        <v>121</v>
      </c>
      <c r="L11">
        <f t="shared" si="0"/>
        <v>20900</v>
      </c>
      <c r="M11">
        <f t="shared" si="1"/>
        <v>83600</v>
      </c>
    </row>
    <row r="12" spans="1:13" x14ac:dyDescent="0.35">
      <c r="A12">
        <v>1011</v>
      </c>
      <c r="B12" s="7">
        <v>45690</v>
      </c>
      <c r="C12" t="s">
        <v>117</v>
      </c>
      <c r="D12" t="s">
        <v>118</v>
      </c>
      <c r="E12" t="s">
        <v>108</v>
      </c>
      <c r="F12" t="s">
        <v>109</v>
      </c>
      <c r="G12" t="s">
        <v>115</v>
      </c>
      <c r="H12">
        <v>2</v>
      </c>
      <c r="I12">
        <v>55000</v>
      </c>
      <c r="J12" s="8">
        <v>0.12</v>
      </c>
      <c r="K12" t="s">
        <v>127</v>
      </c>
      <c r="L12">
        <f t="shared" si="0"/>
        <v>48400</v>
      </c>
      <c r="M12">
        <f t="shared" si="1"/>
        <v>96800</v>
      </c>
    </row>
    <row r="13" spans="1:13" x14ac:dyDescent="0.35">
      <c r="A13">
        <v>1012</v>
      </c>
      <c r="B13" s="7">
        <v>45693</v>
      </c>
      <c r="C13" t="s">
        <v>122</v>
      </c>
      <c r="D13" t="s">
        <v>123</v>
      </c>
      <c r="E13" t="s">
        <v>119</v>
      </c>
      <c r="F13" t="s">
        <v>120</v>
      </c>
      <c r="G13" t="s">
        <v>110</v>
      </c>
      <c r="H13">
        <v>12</v>
      </c>
      <c r="I13">
        <v>1200</v>
      </c>
      <c r="J13" s="8">
        <v>0</v>
      </c>
      <c r="K13" t="s">
        <v>116</v>
      </c>
      <c r="L13">
        <f t="shared" si="0"/>
        <v>1200</v>
      </c>
      <c r="M13">
        <f t="shared" si="1"/>
        <v>14400</v>
      </c>
    </row>
    <row r="14" spans="1:13" x14ac:dyDescent="0.35">
      <c r="A14">
        <v>1013</v>
      </c>
      <c r="B14" s="7">
        <v>45696</v>
      </c>
      <c r="C14" t="s">
        <v>106</v>
      </c>
      <c r="D14" t="s">
        <v>107</v>
      </c>
      <c r="E14" t="s">
        <v>124</v>
      </c>
      <c r="F14" t="s">
        <v>109</v>
      </c>
      <c r="G14" t="s">
        <v>110</v>
      </c>
      <c r="H14">
        <v>5</v>
      </c>
      <c r="I14">
        <v>15000</v>
      </c>
      <c r="J14" s="8">
        <v>0.05</v>
      </c>
      <c r="K14" t="s">
        <v>111</v>
      </c>
      <c r="L14">
        <f t="shared" si="0"/>
        <v>14250</v>
      </c>
      <c r="M14">
        <f t="shared" si="1"/>
        <v>71250</v>
      </c>
    </row>
    <row r="15" spans="1:13" x14ac:dyDescent="0.35">
      <c r="A15">
        <v>1014</v>
      </c>
      <c r="B15" s="7">
        <v>45699</v>
      </c>
      <c r="C15" t="s">
        <v>112</v>
      </c>
      <c r="D15" t="s">
        <v>113</v>
      </c>
      <c r="E15" t="s">
        <v>125</v>
      </c>
      <c r="F15" t="s">
        <v>120</v>
      </c>
      <c r="G15" t="s">
        <v>115</v>
      </c>
      <c r="H15">
        <v>15</v>
      </c>
      <c r="I15">
        <v>800</v>
      </c>
      <c r="J15" s="8">
        <v>0.1</v>
      </c>
      <c r="K15" t="s">
        <v>121</v>
      </c>
      <c r="L15">
        <f t="shared" si="0"/>
        <v>720</v>
      </c>
      <c r="M15">
        <f t="shared" si="1"/>
        <v>10800</v>
      </c>
    </row>
    <row r="16" spans="1:13" x14ac:dyDescent="0.35">
      <c r="A16">
        <v>1015</v>
      </c>
      <c r="B16" s="7">
        <v>45702</v>
      </c>
      <c r="C16" t="s">
        <v>117</v>
      </c>
      <c r="D16" t="s">
        <v>118</v>
      </c>
      <c r="E16" t="s">
        <v>128</v>
      </c>
      <c r="F16" t="s">
        <v>129</v>
      </c>
      <c r="G16" t="s">
        <v>110</v>
      </c>
      <c r="H16">
        <v>4</v>
      </c>
      <c r="I16">
        <v>6500</v>
      </c>
      <c r="J16" s="8">
        <v>0.05</v>
      </c>
      <c r="K16" t="s">
        <v>111</v>
      </c>
      <c r="L16">
        <f t="shared" si="0"/>
        <v>6175</v>
      </c>
      <c r="M16">
        <f t="shared" si="1"/>
        <v>24700</v>
      </c>
    </row>
    <row r="17" spans="1:13" x14ac:dyDescent="0.35">
      <c r="A17">
        <v>1016</v>
      </c>
      <c r="B17" s="7">
        <v>45705</v>
      </c>
      <c r="C17" t="s">
        <v>122</v>
      </c>
      <c r="D17" t="s">
        <v>123</v>
      </c>
      <c r="E17" t="s">
        <v>130</v>
      </c>
      <c r="F17" t="s">
        <v>129</v>
      </c>
      <c r="G17" t="s">
        <v>115</v>
      </c>
      <c r="H17">
        <v>5</v>
      </c>
      <c r="I17">
        <v>12000</v>
      </c>
      <c r="J17" s="8">
        <v>0.08</v>
      </c>
      <c r="K17" t="s">
        <v>127</v>
      </c>
      <c r="L17">
        <f t="shared" si="0"/>
        <v>11040</v>
      </c>
      <c r="M17">
        <f t="shared" si="1"/>
        <v>55200</v>
      </c>
    </row>
    <row r="18" spans="1:13" x14ac:dyDescent="0.35">
      <c r="A18">
        <v>1017</v>
      </c>
      <c r="B18" s="7">
        <v>45708</v>
      </c>
      <c r="C18" t="s">
        <v>106</v>
      </c>
      <c r="D18" t="s">
        <v>107</v>
      </c>
      <c r="E18" t="s">
        <v>126</v>
      </c>
      <c r="F18" t="s">
        <v>109</v>
      </c>
      <c r="G18" t="s">
        <v>110</v>
      </c>
      <c r="H18">
        <v>2</v>
      </c>
      <c r="I18">
        <v>18000</v>
      </c>
      <c r="J18" s="8">
        <v>0.05</v>
      </c>
      <c r="K18" t="s">
        <v>116</v>
      </c>
      <c r="L18">
        <f t="shared" si="0"/>
        <v>17100</v>
      </c>
      <c r="M18">
        <f t="shared" si="1"/>
        <v>34200</v>
      </c>
    </row>
    <row r="19" spans="1:13" x14ac:dyDescent="0.35">
      <c r="A19">
        <v>1018</v>
      </c>
      <c r="B19" s="7">
        <v>45711</v>
      </c>
      <c r="C19" t="s">
        <v>112</v>
      </c>
      <c r="D19" t="s">
        <v>113</v>
      </c>
      <c r="E19" t="s">
        <v>108</v>
      </c>
      <c r="F19" t="s">
        <v>109</v>
      </c>
      <c r="G19" t="s">
        <v>115</v>
      </c>
      <c r="H19">
        <v>3</v>
      </c>
      <c r="I19">
        <v>55000</v>
      </c>
      <c r="J19" s="8">
        <v>0.1</v>
      </c>
      <c r="K19" t="s">
        <v>111</v>
      </c>
      <c r="L19">
        <f t="shared" si="0"/>
        <v>49500</v>
      </c>
      <c r="M19">
        <f t="shared" si="1"/>
        <v>148500</v>
      </c>
    </row>
    <row r="20" spans="1:13" x14ac:dyDescent="0.35">
      <c r="A20">
        <v>1019</v>
      </c>
      <c r="B20" s="7">
        <v>45714</v>
      </c>
      <c r="C20" t="s">
        <v>117</v>
      </c>
      <c r="D20" t="s">
        <v>118</v>
      </c>
      <c r="E20" t="s">
        <v>114</v>
      </c>
      <c r="F20" t="s">
        <v>109</v>
      </c>
      <c r="G20" t="s">
        <v>110</v>
      </c>
      <c r="H20">
        <v>6</v>
      </c>
      <c r="I20">
        <v>22000</v>
      </c>
      <c r="J20" s="8">
        <v>0.05</v>
      </c>
      <c r="K20" t="s">
        <v>121</v>
      </c>
      <c r="L20">
        <f t="shared" si="0"/>
        <v>20900</v>
      </c>
      <c r="M20">
        <f t="shared" si="1"/>
        <v>125400</v>
      </c>
    </row>
    <row r="21" spans="1:13" x14ac:dyDescent="0.35">
      <c r="A21">
        <v>1020</v>
      </c>
      <c r="B21" s="7">
        <v>45716</v>
      </c>
      <c r="C21" t="s">
        <v>122</v>
      </c>
      <c r="D21" t="s">
        <v>123</v>
      </c>
      <c r="E21" t="s">
        <v>125</v>
      </c>
      <c r="F21" t="s">
        <v>120</v>
      </c>
      <c r="G21" t="s">
        <v>110</v>
      </c>
      <c r="H21">
        <v>20</v>
      </c>
      <c r="I21">
        <v>800</v>
      </c>
      <c r="J21" s="8">
        <v>0</v>
      </c>
      <c r="K21" t="s">
        <v>116</v>
      </c>
      <c r="L21">
        <f t="shared" si="0"/>
        <v>800</v>
      </c>
      <c r="M21">
        <f t="shared" si="1"/>
        <v>16000</v>
      </c>
    </row>
    <row r="22" spans="1:13" x14ac:dyDescent="0.35">
      <c r="A22">
        <v>1021</v>
      </c>
      <c r="B22" s="7">
        <v>45719</v>
      </c>
      <c r="C22" t="s">
        <v>106</v>
      </c>
      <c r="D22" t="s">
        <v>107</v>
      </c>
      <c r="E22" t="s">
        <v>128</v>
      </c>
      <c r="F22" t="s">
        <v>129</v>
      </c>
      <c r="G22" t="s">
        <v>115</v>
      </c>
      <c r="H22">
        <v>8</v>
      </c>
      <c r="I22">
        <v>6500</v>
      </c>
      <c r="J22" s="8">
        <v>0.1</v>
      </c>
      <c r="K22" t="s">
        <v>127</v>
      </c>
      <c r="L22">
        <f t="shared" si="0"/>
        <v>5850</v>
      </c>
      <c r="M22">
        <f t="shared" si="1"/>
        <v>46800</v>
      </c>
    </row>
    <row r="23" spans="1:13" x14ac:dyDescent="0.35">
      <c r="A23">
        <v>1022</v>
      </c>
      <c r="B23" s="7">
        <v>45722</v>
      </c>
      <c r="C23" t="s">
        <v>112</v>
      </c>
      <c r="D23" t="s">
        <v>113</v>
      </c>
      <c r="E23" t="s">
        <v>130</v>
      </c>
      <c r="F23" t="s">
        <v>129</v>
      </c>
      <c r="G23" t="s">
        <v>110</v>
      </c>
      <c r="H23">
        <v>2</v>
      </c>
      <c r="I23">
        <v>12000</v>
      </c>
      <c r="J23" s="8">
        <v>0.05</v>
      </c>
      <c r="K23" t="s">
        <v>111</v>
      </c>
      <c r="L23">
        <f t="shared" si="0"/>
        <v>11400</v>
      </c>
      <c r="M23">
        <f t="shared" si="1"/>
        <v>22800</v>
      </c>
    </row>
    <row r="24" spans="1:13" x14ac:dyDescent="0.35">
      <c r="A24">
        <v>1023</v>
      </c>
      <c r="B24" s="7">
        <v>45725</v>
      </c>
      <c r="C24" t="s">
        <v>117</v>
      </c>
      <c r="D24" t="s">
        <v>118</v>
      </c>
      <c r="E24" t="s">
        <v>124</v>
      </c>
      <c r="F24" t="s">
        <v>109</v>
      </c>
      <c r="G24" t="s">
        <v>115</v>
      </c>
      <c r="H24">
        <v>6</v>
      </c>
      <c r="I24">
        <v>15000</v>
      </c>
      <c r="J24" s="8">
        <v>0.08</v>
      </c>
      <c r="K24" t="s">
        <v>116</v>
      </c>
      <c r="L24">
        <f t="shared" si="0"/>
        <v>13800</v>
      </c>
      <c r="M24">
        <f t="shared" si="1"/>
        <v>82800</v>
      </c>
    </row>
    <row r="25" spans="1:13" x14ac:dyDescent="0.35">
      <c r="A25">
        <v>1024</v>
      </c>
      <c r="B25" s="7">
        <v>45728</v>
      </c>
      <c r="C25" t="s">
        <v>122</v>
      </c>
      <c r="D25" t="s">
        <v>123</v>
      </c>
      <c r="E25" t="s">
        <v>108</v>
      </c>
      <c r="F25" t="s">
        <v>109</v>
      </c>
      <c r="G25" t="s">
        <v>110</v>
      </c>
      <c r="H25">
        <v>2</v>
      </c>
      <c r="I25">
        <v>55000</v>
      </c>
      <c r="J25" s="8">
        <v>0.05</v>
      </c>
      <c r="K25" t="s">
        <v>121</v>
      </c>
      <c r="L25">
        <f t="shared" si="0"/>
        <v>52250</v>
      </c>
      <c r="M25">
        <f t="shared" si="1"/>
        <v>104500</v>
      </c>
    </row>
    <row r="26" spans="1:13" x14ac:dyDescent="0.35">
      <c r="A26">
        <v>1025</v>
      </c>
      <c r="B26" s="7">
        <v>45731</v>
      </c>
      <c r="C26" t="s">
        <v>106</v>
      </c>
      <c r="D26" t="s">
        <v>107</v>
      </c>
      <c r="E26" t="s">
        <v>114</v>
      </c>
      <c r="F26" t="s">
        <v>109</v>
      </c>
      <c r="G26" t="s">
        <v>110</v>
      </c>
      <c r="H26">
        <v>7</v>
      </c>
      <c r="I26">
        <v>22000</v>
      </c>
      <c r="J26" s="8">
        <v>0.05</v>
      </c>
      <c r="K26" t="s">
        <v>111</v>
      </c>
      <c r="L26">
        <f t="shared" si="0"/>
        <v>20900</v>
      </c>
      <c r="M26">
        <f t="shared" si="1"/>
        <v>146300</v>
      </c>
    </row>
    <row r="27" spans="1:13" x14ac:dyDescent="0.35">
      <c r="A27">
        <v>1026</v>
      </c>
      <c r="B27" s="7">
        <v>45734</v>
      </c>
      <c r="C27" t="s">
        <v>112</v>
      </c>
      <c r="D27" t="s">
        <v>113</v>
      </c>
      <c r="E27" t="s">
        <v>119</v>
      </c>
      <c r="F27" t="s">
        <v>120</v>
      </c>
      <c r="G27" t="s">
        <v>115</v>
      </c>
      <c r="H27">
        <v>20</v>
      </c>
      <c r="I27">
        <v>1200</v>
      </c>
      <c r="J27" s="8">
        <v>0.1</v>
      </c>
      <c r="K27" t="s">
        <v>116</v>
      </c>
      <c r="L27">
        <f t="shared" si="0"/>
        <v>1080</v>
      </c>
      <c r="M27">
        <f t="shared" si="1"/>
        <v>21600</v>
      </c>
    </row>
    <row r="28" spans="1:13" x14ac:dyDescent="0.35">
      <c r="A28">
        <v>1027</v>
      </c>
      <c r="B28" s="7">
        <v>45737</v>
      </c>
      <c r="C28" t="s">
        <v>117</v>
      </c>
      <c r="D28" t="s">
        <v>118</v>
      </c>
      <c r="E28" t="s">
        <v>126</v>
      </c>
      <c r="F28" t="s">
        <v>109</v>
      </c>
      <c r="G28" t="s">
        <v>110</v>
      </c>
      <c r="H28">
        <v>3</v>
      </c>
      <c r="I28">
        <v>18000</v>
      </c>
      <c r="J28" s="8">
        <v>0.05</v>
      </c>
      <c r="K28" t="s">
        <v>121</v>
      </c>
      <c r="L28">
        <f t="shared" si="0"/>
        <v>17100</v>
      </c>
      <c r="M28">
        <f t="shared" si="1"/>
        <v>51300</v>
      </c>
    </row>
    <row r="29" spans="1:13" x14ac:dyDescent="0.35">
      <c r="A29">
        <v>1028</v>
      </c>
      <c r="B29" s="7">
        <v>45740</v>
      </c>
      <c r="C29" t="s">
        <v>122</v>
      </c>
      <c r="D29" t="s">
        <v>123</v>
      </c>
      <c r="E29" t="s">
        <v>128</v>
      </c>
      <c r="F29" t="s">
        <v>129</v>
      </c>
      <c r="G29" t="s">
        <v>115</v>
      </c>
      <c r="H29">
        <v>10</v>
      </c>
      <c r="I29">
        <v>6500</v>
      </c>
      <c r="J29" s="8">
        <v>0.12</v>
      </c>
      <c r="K29" t="s">
        <v>127</v>
      </c>
      <c r="L29">
        <f t="shared" si="0"/>
        <v>5720</v>
      </c>
      <c r="M29">
        <f t="shared" si="1"/>
        <v>57200</v>
      </c>
    </row>
    <row r="30" spans="1:13" x14ac:dyDescent="0.35">
      <c r="A30">
        <v>1029</v>
      </c>
      <c r="B30" s="7">
        <v>45743</v>
      </c>
      <c r="C30" t="s">
        <v>106</v>
      </c>
      <c r="D30" t="s">
        <v>107</v>
      </c>
      <c r="E30" t="s">
        <v>125</v>
      </c>
      <c r="F30" t="s">
        <v>120</v>
      </c>
      <c r="G30" t="s">
        <v>110</v>
      </c>
      <c r="H30">
        <v>25</v>
      </c>
      <c r="I30">
        <v>800</v>
      </c>
      <c r="J30" s="8">
        <v>0</v>
      </c>
      <c r="K30" t="s">
        <v>116</v>
      </c>
      <c r="L30">
        <f t="shared" si="0"/>
        <v>800</v>
      </c>
      <c r="M30">
        <f t="shared" si="1"/>
        <v>20000</v>
      </c>
    </row>
    <row r="31" spans="1:13" x14ac:dyDescent="0.35">
      <c r="A31">
        <v>1030</v>
      </c>
      <c r="B31" s="7">
        <v>45746</v>
      </c>
      <c r="C31" t="s">
        <v>112</v>
      </c>
      <c r="D31" t="s">
        <v>113</v>
      </c>
      <c r="E31" t="s">
        <v>108</v>
      </c>
      <c r="F31" t="s">
        <v>109</v>
      </c>
      <c r="G31" t="s">
        <v>110</v>
      </c>
      <c r="H31">
        <v>1</v>
      </c>
      <c r="I31">
        <v>55000</v>
      </c>
      <c r="J31" s="8">
        <v>0.05</v>
      </c>
      <c r="K31" t="s">
        <v>111</v>
      </c>
      <c r="L31">
        <f t="shared" si="0"/>
        <v>52250</v>
      </c>
      <c r="M31">
        <f t="shared" si="1"/>
        <v>52250</v>
      </c>
    </row>
    <row r="32" spans="1:13" x14ac:dyDescent="0.35">
      <c r="A32">
        <v>1031</v>
      </c>
      <c r="B32" s="7">
        <v>45750</v>
      </c>
      <c r="C32" t="s">
        <v>117</v>
      </c>
      <c r="D32" t="s">
        <v>118</v>
      </c>
      <c r="E32" t="s">
        <v>130</v>
      </c>
      <c r="F32" t="s">
        <v>129</v>
      </c>
      <c r="G32" t="s">
        <v>115</v>
      </c>
      <c r="H32">
        <v>4</v>
      </c>
      <c r="I32">
        <v>12000</v>
      </c>
      <c r="J32" s="8">
        <v>0.1</v>
      </c>
      <c r="K32" t="s">
        <v>121</v>
      </c>
      <c r="L32">
        <f t="shared" si="0"/>
        <v>10800</v>
      </c>
      <c r="M32">
        <f t="shared" si="1"/>
        <v>43200</v>
      </c>
    </row>
    <row r="33" spans="1:13" x14ac:dyDescent="0.35">
      <c r="A33">
        <v>1032</v>
      </c>
      <c r="B33" s="7">
        <v>45753</v>
      </c>
      <c r="C33" t="s">
        <v>122</v>
      </c>
      <c r="D33" t="s">
        <v>123</v>
      </c>
      <c r="E33" t="s">
        <v>114</v>
      </c>
      <c r="F33" t="s">
        <v>109</v>
      </c>
      <c r="G33" t="s">
        <v>110</v>
      </c>
      <c r="H33">
        <v>5</v>
      </c>
      <c r="I33">
        <v>22000</v>
      </c>
      <c r="J33" s="8">
        <v>0.05</v>
      </c>
      <c r="K33" t="s">
        <v>116</v>
      </c>
      <c r="L33">
        <f t="shared" si="0"/>
        <v>20900</v>
      </c>
      <c r="M33">
        <f t="shared" si="1"/>
        <v>104500</v>
      </c>
    </row>
    <row r="34" spans="1:13" x14ac:dyDescent="0.35">
      <c r="A34">
        <v>1033</v>
      </c>
      <c r="B34" s="7">
        <v>45756</v>
      </c>
      <c r="C34" t="s">
        <v>106</v>
      </c>
      <c r="D34" t="s">
        <v>107</v>
      </c>
      <c r="E34" t="s">
        <v>124</v>
      </c>
      <c r="F34" t="s">
        <v>109</v>
      </c>
      <c r="G34" t="s">
        <v>115</v>
      </c>
      <c r="H34">
        <v>7</v>
      </c>
      <c r="I34">
        <v>15000</v>
      </c>
      <c r="J34" s="8">
        <v>0.08</v>
      </c>
      <c r="K34" t="s">
        <v>127</v>
      </c>
      <c r="L34">
        <f t="shared" si="0"/>
        <v>13800</v>
      </c>
      <c r="M34">
        <f t="shared" si="1"/>
        <v>96600</v>
      </c>
    </row>
    <row r="35" spans="1:13" x14ac:dyDescent="0.35">
      <c r="A35">
        <v>1034</v>
      </c>
      <c r="B35" s="7">
        <v>45759</v>
      </c>
      <c r="C35" t="s">
        <v>112</v>
      </c>
      <c r="D35" t="s">
        <v>113</v>
      </c>
      <c r="E35" t="s">
        <v>126</v>
      </c>
      <c r="F35" t="s">
        <v>109</v>
      </c>
      <c r="G35" t="s">
        <v>110</v>
      </c>
      <c r="H35">
        <v>2</v>
      </c>
      <c r="I35">
        <v>18000</v>
      </c>
      <c r="J35" s="8">
        <v>0.05</v>
      </c>
      <c r="K35" t="s">
        <v>111</v>
      </c>
      <c r="L35">
        <f t="shared" si="0"/>
        <v>17100</v>
      </c>
      <c r="M35">
        <f t="shared" si="1"/>
        <v>34200</v>
      </c>
    </row>
    <row r="36" spans="1:13" x14ac:dyDescent="0.35">
      <c r="A36">
        <v>1035</v>
      </c>
      <c r="B36" s="7">
        <v>45762</v>
      </c>
      <c r="C36" t="s">
        <v>117</v>
      </c>
      <c r="D36" t="s">
        <v>118</v>
      </c>
      <c r="E36" t="s">
        <v>128</v>
      </c>
      <c r="F36" t="s">
        <v>129</v>
      </c>
      <c r="G36" t="s">
        <v>110</v>
      </c>
      <c r="H36">
        <v>9</v>
      </c>
      <c r="I36">
        <v>6500</v>
      </c>
      <c r="J36" s="8">
        <v>0.05</v>
      </c>
      <c r="K36" t="s">
        <v>121</v>
      </c>
      <c r="L36">
        <f t="shared" si="0"/>
        <v>6175</v>
      </c>
      <c r="M36">
        <f t="shared" si="1"/>
        <v>55575</v>
      </c>
    </row>
    <row r="37" spans="1:13" x14ac:dyDescent="0.35">
      <c r="A37">
        <v>1036</v>
      </c>
      <c r="B37" s="7">
        <v>45765</v>
      </c>
      <c r="C37" t="s">
        <v>122</v>
      </c>
      <c r="D37" t="s">
        <v>123</v>
      </c>
      <c r="E37" t="s">
        <v>119</v>
      </c>
      <c r="F37" t="s">
        <v>120</v>
      </c>
      <c r="G37" t="s">
        <v>115</v>
      </c>
      <c r="H37">
        <v>15</v>
      </c>
      <c r="I37">
        <v>1200</v>
      </c>
      <c r="J37" s="8">
        <v>0.1</v>
      </c>
      <c r="K37" t="s">
        <v>116</v>
      </c>
      <c r="L37">
        <f t="shared" si="0"/>
        <v>1080</v>
      </c>
      <c r="M37">
        <f t="shared" si="1"/>
        <v>16200</v>
      </c>
    </row>
    <row r="38" spans="1:13" x14ac:dyDescent="0.35">
      <c r="A38">
        <v>1037</v>
      </c>
      <c r="B38" s="7">
        <v>45768</v>
      </c>
      <c r="C38" t="s">
        <v>106</v>
      </c>
      <c r="D38" t="s">
        <v>107</v>
      </c>
      <c r="E38" t="s">
        <v>108</v>
      </c>
      <c r="F38" t="s">
        <v>109</v>
      </c>
      <c r="G38" t="s">
        <v>110</v>
      </c>
      <c r="H38">
        <v>3</v>
      </c>
      <c r="I38">
        <v>55000</v>
      </c>
      <c r="J38" s="8">
        <v>0.05</v>
      </c>
      <c r="K38" t="s">
        <v>111</v>
      </c>
      <c r="L38">
        <f t="shared" si="0"/>
        <v>52250</v>
      </c>
      <c r="M38">
        <f t="shared" si="1"/>
        <v>156750</v>
      </c>
    </row>
    <row r="39" spans="1:13" x14ac:dyDescent="0.35">
      <c r="A39">
        <v>1038</v>
      </c>
      <c r="B39" s="7">
        <v>45771</v>
      </c>
      <c r="C39" t="s">
        <v>112</v>
      </c>
      <c r="D39" t="s">
        <v>113</v>
      </c>
      <c r="E39" t="s">
        <v>125</v>
      </c>
      <c r="F39" t="s">
        <v>120</v>
      </c>
      <c r="G39" t="s">
        <v>110</v>
      </c>
      <c r="H39">
        <v>18</v>
      </c>
      <c r="I39">
        <v>800</v>
      </c>
      <c r="J39" s="8">
        <v>0</v>
      </c>
      <c r="K39" t="s">
        <v>121</v>
      </c>
      <c r="L39">
        <f t="shared" si="0"/>
        <v>800</v>
      </c>
      <c r="M39">
        <f t="shared" si="1"/>
        <v>14400</v>
      </c>
    </row>
    <row r="40" spans="1:13" x14ac:dyDescent="0.35">
      <c r="A40">
        <v>1039</v>
      </c>
      <c r="B40" s="7">
        <v>45774</v>
      </c>
      <c r="C40" t="s">
        <v>117</v>
      </c>
      <c r="D40" t="s">
        <v>118</v>
      </c>
      <c r="E40" t="s">
        <v>114</v>
      </c>
      <c r="F40" t="s">
        <v>109</v>
      </c>
      <c r="G40" t="s">
        <v>115</v>
      </c>
      <c r="H40">
        <v>8</v>
      </c>
      <c r="I40">
        <v>22000</v>
      </c>
      <c r="J40" s="8">
        <v>0.12</v>
      </c>
      <c r="K40" t="s">
        <v>127</v>
      </c>
      <c r="L40">
        <f t="shared" si="0"/>
        <v>19360</v>
      </c>
      <c r="M40">
        <f t="shared" si="1"/>
        <v>154880</v>
      </c>
    </row>
    <row r="41" spans="1:13" x14ac:dyDescent="0.35">
      <c r="A41">
        <v>1040</v>
      </c>
      <c r="B41" s="7">
        <v>45777</v>
      </c>
      <c r="C41" t="s">
        <v>122</v>
      </c>
      <c r="D41" t="s">
        <v>123</v>
      </c>
      <c r="E41" t="s">
        <v>130</v>
      </c>
      <c r="F41" t="s">
        <v>129</v>
      </c>
      <c r="G41" t="s">
        <v>110</v>
      </c>
      <c r="H41">
        <v>3</v>
      </c>
      <c r="I41">
        <v>12000</v>
      </c>
      <c r="J41" s="8">
        <v>0.05</v>
      </c>
      <c r="K41" t="s">
        <v>116</v>
      </c>
      <c r="L41">
        <f t="shared" si="0"/>
        <v>11400</v>
      </c>
      <c r="M41">
        <f t="shared" si="1"/>
        <v>34200</v>
      </c>
    </row>
    <row r="42" spans="1:13" x14ac:dyDescent="0.35">
      <c r="A42">
        <v>1041</v>
      </c>
      <c r="B42" s="7">
        <v>45781</v>
      </c>
      <c r="C42" t="s">
        <v>106</v>
      </c>
      <c r="D42" t="s">
        <v>107</v>
      </c>
      <c r="E42" t="s">
        <v>126</v>
      </c>
      <c r="F42" t="s">
        <v>109</v>
      </c>
      <c r="G42" t="s">
        <v>115</v>
      </c>
      <c r="H42">
        <v>5</v>
      </c>
      <c r="I42">
        <v>18000</v>
      </c>
      <c r="J42" s="8">
        <v>0.1</v>
      </c>
      <c r="K42" t="s">
        <v>111</v>
      </c>
      <c r="L42">
        <f t="shared" si="0"/>
        <v>16200</v>
      </c>
      <c r="M42">
        <f t="shared" si="1"/>
        <v>81000</v>
      </c>
    </row>
    <row r="43" spans="1:13" x14ac:dyDescent="0.35">
      <c r="A43">
        <v>1042</v>
      </c>
      <c r="B43" s="7">
        <v>45784</v>
      </c>
      <c r="C43" t="s">
        <v>112</v>
      </c>
      <c r="D43" t="s">
        <v>113</v>
      </c>
      <c r="E43" t="s">
        <v>128</v>
      </c>
      <c r="F43" t="s">
        <v>129</v>
      </c>
      <c r="G43" t="s">
        <v>110</v>
      </c>
      <c r="H43">
        <v>7</v>
      </c>
      <c r="I43">
        <v>6500</v>
      </c>
      <c r="J43" s="8">
        <v>0.05</v>
      </c>
      <c r="K43" t="s">
        <v>121</v>
      </c>
      <c r="L43">
        <f t="shared" si="0"/>
        <v>6175</v>
      </c>
      <c r="M43">
        <f t="shared" si="1"/>
        <v>43225</v>
      </c>
    </row>
    <row r="44" spans="1:13" x14ac:dyDescent="0.35">
      <c r="A44">
        <v>1043</v>
      </c>
      <c r="B44" s="7">
        <v>45787</v>
      </c>
      <c r="C44" t="s">
        <v>117</v>
      </c>
      <c r="D44" t="s">
        <v>118</v>
      </c>
      <c r="E44" t="s">
        <v>108</v>
      </c>
      <c r="F44" t="s">
        <v>109</v>
      </c>
      <c r="G44" t="s">
        <v>110</v>
      </c>
      <c r="H44">
        <v>2</v>
      </c>
      <c r="I44">
        <v>55000</v>
      </c>
      <c r="J44" s="8">
        <v>0.05</v>
      </c>
      <c r="K44" t="s">
        <v>116</v>
      </c>
      <c r="L44">
        <f t="shared" si="0"/>
        <v>52250</v>
      </c>
      <c r="M44">
        <f t="shared" si="1"/>
        <v>104500</v>
      </c>
    </row>
    <row r="45" spans="1:13" x14ac:dyDescent="0.35">
      <c r="A45">
        <v>1044</v>
      </c>
      <c r="B45" s="7">
        <v>45790</v>
      </c>
      <c r="C45" t="s">
        <v>122</v>
      </c>
      <c r="D45" t="s">
        <v>123</v>
      </c>
      <c r="E45" t="s">
        <v>124</v>
      </c>
      <c r="F45" t="s">
        <v>109</v>
      </c>
      <c r="G45" t="s">
        <v>115</v>
      </c>
      <c r="H45">
        <v>5</v>
      </c>
      <c r="I45">
        <v>15000</v>
      </c>
      <c r="J45" s="8">
        <v>0.08</v>
      </c>
      <c r="K45" t="s">
        <v>127</v>
      </c>
      <c r="L45">
        <f t="shared" si="0"/>
        <v>13800</v>
      </c>
      <c r="M45">
        <f t="shared" si="1"/>
        <v>69000</v>
      </c>
    </row>
    <row r="46" spans="1:13" x14ac:dyDescent="0.35">
      <c r="A46">
        <v>1045</v>
      </c>
      <c r="B46" s="7">
        <v>45793</v>
      </c>
      <c r="C46" t="s">
        <v>106</v>
      </c>
      <c r="D46" t="s">
        <v>107</v>
      </c>
      <c r="E46" t="s">
        <v>119</v>
      </c>
      <c r="F46" t="s">
        <v>120</v>
      </c>
      <c r="G46" t="s">
        <v>110</v>
      </c>
      <c r="H46">
        <v>14</v>
      </c>
      <c r="I46">
        <v>1200</v>
      </c>
      <c r="J46" s="8">
        <v>0</v>
      </c>
      <c r="K46" t="s">
        <v>121</v>
      </c>
      <c r="L46">
        <f t="shared" si="0"/>
        <v>1200</v>
      </c>
      <c r="M46">
        <f t="shared" si="1"/>
        <v>16800</v>
      </c>
    </row>
    <row r="47" spans="1:13" x14ac:dyDescent="0.35">
      <c r="A47">
        <v>1046</v>
      </c>
      <c r="B47" s="7">
        <v>45796</v>
      </c>
      <c r="C47" t="s">
        <v>112</v>
      </c>
      <c r="D47" t="s">
        <v>113</v>
      </c>
      <c r="E47" t="s">
        <v>130</v>
      </c>
      <c r="F47" t="s">
        <v>129</v>
      </c>
      <c r="G47" t="s">
        <v>115</v>
      </c>
      <c r="H47">
        <v>6</v>
      </c>
      <c r="I47">
        <v>12000</v>
      </c>
      <c r="J47" s="8">
        <v>0.1</v>
      </c>
      <c r="K47" t="s">
        <v>111</v>
      </c>
      <c r="L47">
        <f t="shared" si="0"/>
        <v>10800</v>
      </c>
      <c r="M47">
        <f t="shared" si="1"/>
        <v>64800</v>
      </c>
    </row>
    <row r="48" spans="1:13" x14ac:dyDescent="0.35">
      <c r="A48">
        <v>1047</v>
      </c>
      <c r="B48" s="7">
        <v>45799</v>
      </c>
      <c r="C48" t="s">
        <v>117</v>
      </c>
      <c r="D48" t="s">
        <v>118</v>
      </c>
      <c r="E48" t="s">
        <v>125</v>
      </c>
      <c r="F48" t="s">
        <v>120</v>
      </c>
      <c r="G48" t="s">
        <v>110</v>
      </c>
      <c r="H48">
        <v>22</v>
      </c>
      <c r="I48">
        <v>800</v>
      </c>
      <c r="J48" s="8">
        <v>0.05</v>
      </c>
      <c r="K48" t="s">
        <v>116</v>
      </c>
      <c r="L48">
        <f t="shared" si="0"/>
        <v>760</v>
      </c>
      <c r="M48">
        <f t="shared" si="1"/>
        <v>16720</v>
      </c>
    </row>
    <row r="49" spans="1:13" x14ac:dyDescent="0.35">
      <c r="A49">
        <v>1048</v>
      </c>
      <c r="B49" s="7">
        <v>45802</v>
      </c>
      <c r="C49" t="s">
        <v>122</v>
      </c>
      <c r="D49" t="s">
        <v>123</v>
      </c>
      <c r="E49" t="s">
        <v>114</v>
      </c>
      <c r="F49" t="s">
        <v>109</v>
      </c>
      <c r="G49" t="s">
        <v>110</v>
      </c>
      <c r="H49">
        <v>4</v>
      </c>
      <c r="I49">
        <v>22000</v>
      </c>
      <c r="J49" s="8">
        <v>0.05</v>
      </c>
      <c r="K49" t="s">
        <v>121</v>
      </c>
      <c r="L49">
        <f t="shared" si="0"/>
        <v>20900</v>
      </c>
      <c r="M49">
        <f t="shared" si="1"/>
        <v>83600</v>
      </c>
    </row>
    <row r="50" spans="1:13" x14ac:dyDescent="0.35">
      <c r="A50">
        <v>1049</v>
      </c>
      <c r="B50" s="7">
        <v>45805</v>
      </c>
      <c r="C50" t="s">
        <v>106</v>
      </c>
      <c r="D50" t="s">
        <v>107</v>
      </c>
      <c r="E50" t="s">
        <v>128</v>
      </c>
      <c r="F50" t="s">
        <v>129</v>
      </c>
      <c r="G50" t="s">
        <v>115</v>
      </c>
      <c r="H50">
        <v>9</v>
      </c>
      <c r="I50">
        <v>6500</v>
      </c>
      <c r="J50" s="8">
        <v>0.12</v>
      </c>
      <c r="K50" t="s">
        <v>127</v>
      </c>
      <c r="L50">
        <f t="shared" si="0"/>
        <v>5720</v>
      </c>
      <c r="M50">
        <f t="shared" si="1"/>
        <v>51480</v>
      </c>
    </row>
    <row r="51" spans="1:13" x14ac:dyDescent="0.35">
      <c r="A51">
        <v>1050</v>
      </c>
      <c r="B51" s="7">
        <v>45808</v>
      </c>
      <c r="C51" t="s">
        <v>112</v>
      </c>
      <c r="D51" t="s">
        <v>113</v>
      </c>
      <c r="E51" t="s">
        <v>126</v>
      </c>
      <c r="F51" t="s">
        <v>109</v>
      </c>
      <c r="G51" t="s">
        <v>110</v>
      </c>
      <c r="H51">
        <v>3</v>
      </c>
      <c r="I51">
        <v>18000</v>
      </c>
      <c r="J51" s="8">
        <v>0.05</v>
      </c>
      <c r="K51" t="s">
        <v>111</v>
      </c>
      <c r="L51">
        <f t="shared" si="0"/>
        <v>17100</v>
      </c>
      <c r="M51">
        <f t="shared" si="1"/>
        <v>51300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Sheet2</vt:lpstr>
      <vt:lpstr>Sheet3</vt:lpstr>
      <vt:lpstr>Sheet4</vt:lpstr>
      <vt:lpstr>Sheet1</vt:lpstr>
      <vt:lpstr>Sheet5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2026-09-01T05:13:21Z</dcterms:created>
  <dcterms:modified xsi:type="dcterms:W3CDTF">2026-09-04T05:21:05Z</dcterms:modified>
</cp:coreProperties>
</file>