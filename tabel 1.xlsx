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GI MODI\Documents\"/>
    </mc:Choice>
  </mc:AlternateContent>
  <xr:revisionPtr revIDLastSave="0" documentId="13_ncr:1_{E9877A35-92FF-45F9-A5EA-9A1DD4A27B5F}" xr6:coauthVersionLast="47" xr6:coauthVersionMax="47" xr10:uidLastSave="{00000000-0000-0000-0000-000000000000}"/>
  <bookViews>
    <workbookView xWindow="-98" yWindow="-98" windowWidth="19396" windowHeight="11475" activeTab="2" xr2:uid="{CD39C134-CFC8-481E-86A3-9A311636CB9D}"/>
  </bookViews>
  <sheets>
    <sheet name="customercsv" sheetId="2" r:id="rId1"/>
    <sheet name="Table 1" sheetId="3" r:id="rId2"/>
    <sheet name="Table 1 (2)" sheetId="4" r:id="rId3"/>
    <sheet name="Sheet2" sheetId="5" r:id="rId4"/>
    <sheet name="Sheet1" sheetId="1" r:id="rId5"/>
  </sheets>
  <definedNames>
    <definedName name="ExternalData_1" localSheetId="1" hidden="1">'Table 1'!$A$1:$M$27</definedName>
  </definedNames>
  <calcPr calcId="191029"/>
  <pivotCaches>
    <pivotCache cacheId="0" r:id="rId6"/>
    <pivotCache cacheId="5" r:id="rId7"/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0E35B9-40AF-4E0D-AAC4-E1A5586F7A0F}" keepAlive="1" name="Query - customercsv" description="Connection to the 'customercsv' query in the workbook." type="5" refreshedVersion="0" background="1">
    <dbPr connection="Provider=Microsoft.Mashup.OleDb.1;Data Source=$Workbook$;Location=customercsv;Extended Properties=&quot;&quot;" command="SELECT * FROM [customercsv]"/>
  </connection>
  <connection id="2" xr16:uid="{E77A40DE-D5ED-4BD5-947D-82F8DF704177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3" xr16:uid="{4CE68162-23E5-47DB-823E-2C7637F7AA73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</connections>
</file>

<file path=xl/sharedStrings.xml><?xml version="1.0" encoding="utf-8"?>
<sst xmlns="http://schemas.openxmlformats.org/spreadsheetml/2006/main" count="905" uniqueCount="614">
  <si>
    <t>CustomerID</t>
  </si>
  <si>
    <t>CustomerName</t>
  </si>
  <si>
    <t>City</t>
  </si>
  <si>
    <t>State</t>
  </si>
  <si>
    <t>Gender</t>
  </si>
  <si>
    <t>C001</t>
  </si>
  <si>
    <t>Amit Sharma</t>
  </si>
  <si>
    <t>Ahmedabad</t>
  </si>
  <si>
    <t>Gujarat</t>
  </si>
  <si>
    <t>Male</t>
  </si>
  <si>
    <t>C002</t>
  </si>
  <si>
    <t>Neha Patel</t>
  </si>
  <si>
    <t>Surat</t>
  </si>
  <si>
    <t>Female</t>
  </si>
  <si>
    <t>C003</t>
  </si>
  <si>
    <t>Raj Verma</t>
  </si>
  <si>
    <t>Indore</t>
  </si>
  <si>
    <t>Madhya Pradesh</t>
  </si>
  <si>
    <t>C004</t>
  </si>
  <si>
    <t>Priya Singh</t>
  </si>
  <si>
    <t>Bhopal</t>
  </si>
  <si>
    <t>C005</t>
  </si>
  <si>
    <t>Karan Shah</t>
  </si>
  <si>
    <t>Vadodara</t>
  </si>
  <si>
    <t>C006</t>
  </si>
  <si>
    <t>Pooja Mehta</t>
  </si>
  <si>
    <t>Rajkot</t>
  </si>
  <si>
    <t>C007</t>
  </si>
  <si>
    <t>Rohit Jain</t>
  </si>
  <si>
    <t>Jaipur</t>
  </si>
  <si>
    <t>Rajasthan</t>
  </si>
  <si>
    <t>C008</t>
  </si>
  <si>
    <t>Anjali Gupta</t>
  </si>
  <si>
    <t>Udaipur</t>
  </si>
  <si>
    <t>C009</t>
  </si>
  <si>
    <t>Vikas Yadav</t>
  </si>
  <si>
    <t>Pune</t>
  </si>
  <si>
    <t>Maharashtra</t>
  </si>
  <si>
    <t>C010</t>
  </si>
  <si>
    <t>Sneha Joshi</t>
  </si>
  <si>
    <t>Mumbai</t>
  </si>
  <si>
    <t>S.No.</t>
  </si>
  <si>
    <t>Name</t>
  </si>
  <si>
    <t>CMP
                    Rs.</t>
  </si>
  <si>
    <t>P/E</t>
  </si>
  <si>
    <t>Mar Cap
                    Rs.Cr.</t>
  </si>
  <si>
    <t>Div Yld
                    %</t>
  </si>
  <si>
    <t>NP Qtr
                    Rs.Cr.</t>
  </si>
  <si>
    <t>Qtr Profit Var
                    %</t>
  </si>
  <si>
    <t>Sales Qtr
                    Rs.Cr.</t>
  </si>
  <si>
    <t>Qtr Sales Var
                    %</t>
  </si>
  <si>
    <t>ROCE
                    %</t>
  </si>
  <si>
    <t>Debt / Eq</t>
  </si>
  <si>
    <t>NP 12M
                    Rs.Cr.</t>
  </si>
  <si>
    <t>1.</t>
  </si>
  <si>
    <t>P &amp; G Hygiene</t>
  </si>
  <si>
    <t>8671.90</t>
  </si>
  <si>
    <t>35.60</t>
  </si>
  <si>
    <t>28149.64</t>
  </si>
  <si>
    <t>2.67</t>
  </si>
  <si>
    <t>126.27</t>
  </si>
  <si>
    <t>-34.25</t>
  </si>
  <si>
    <t>891.46</t>
  </si>
  <si>
    <t>-4.86</t>
  </si>
  <si>
    <t>157.48</t>
  </si>
  <si>
    <t>0.00</t>
  </si>
  <si>
    <t>790.72</t>
  </si>
  <si>
    <t>2.</t>
  </si>
  <si>
    <t>Tips Music</t>
  </si>
  <si>
    <t>688.40</t>
  </si>
  <si>
    <t>41.01</t>
  </si>
  <si>
    <t>8799.91</t>
  </si>
  <si>
    <t>1.85</t>
  </si>
  <si>
    <t>43.70</t>
  </si>
  <si>
    <t>-4.67</t>
  </si>
  <si>
    <t>106.51</t>
  </si>
  <si>
    <t>20.94</t>
  </si>
  <si>
    <t>122.19</t>
  </si>
  <si>
    <t>0.02</t>
  </si>
  <si>
    <t>214.61</t>
  </si>
  <si>
    <t>3.</t>
  </si>
  <si>
    <t>ICICI AMC</t>
  </si>
  <si>
    <t>3109.00</t>
  </si>
  <si>
    <t>44.05</t>
  </si>
  <si>
    <t>153665.01</t>
  </si>
  <si>
    <t>0.87</t>
  </si>
  <si>
    <t>964.63</t>
  </si>
  <si>
    <t>23.10</t>
  </si>
  <si>
    <t>1564.22</t>
  </si>
  <si>
    <t>17.55</t>
  </si>
  <si>
    <t>115.10</t>
  </si>
  <si>
    <t>3485.73</t>
  </si>
  <si>
    <t>4.</t>
  </si>
  <si>
    <t>Colgate-Palmoliv</t>
  </si>
  <si>
    <t>2082.90</t>
  </si>
  <si>
    <t>41.35</t>
  </si>
  <si>
    <t>56651.88</t>
  </si>
  <si>
    <t>2.42</t>
  </si>
  <si>
    <t>343.08</t>
  </si>
  <si>
    <t>7.77</t>
  </si>
  <si>
    <t>1603.30</t>
  </si>
  <si>
    <t>11.80</t>
  </si>
  <si>
    <t>108.02</t>
  </si>
  <si>
    <t>0.03</t>
  </si>
  <si>
    <t>1347.77</t>
  </si>
  <si>
    <t>5.</t>
  </si>
  <si>
    <t>Gillette India</t>
  </si>
  <si>
    <t>7738.15</t>
  </si>
  <si>
    <t>37.74</t>
  </si>
  <si>
    <t>25218.65</t>
  </si>
  <si>
    <t>2.32</t>
  </si>
  <si>
    <t>159.45</t>
  </si>
  <si>
    <t>9.44</t>
  </si>
  <si>
    <t>783.02</t>
  </si>
  <si>
    <t>10.80</t>
  </si>
  <si>
    <t>90.62</t>
  </si>
  <si>
    <t>668.07</t>
  </si>
  <si>
    <t>6.</t>
  </si>
  <si>
    <t>Sanofi Consumer</t>
  </si>
  <si>
    <t>4558.00</t>
  </si>
  <si>
    <t>39.45</t>
  </si>
  <si>
    <t>10497.36</t>
  </si>
  <si>
    <t>1.65</t>
  </si>
  <si>
    <t>68.80</t>
  </si>
  <si>
    <t>23.65</t>
  </si>
  <si>
    <t>235.70</t>
  </si>
  <si>
    <t>6.70</t>
  </si>
  <si>
    <t>89.93</t>
  </si>
  <si>
    <t>0.06</t>
  </si>
  <si>
    <t>266.00</t>
  </si>
  <si>
    <t>7.</t>
  </si>
  <si>
    <t>Waaree Renewab.</t>
  </si>
  <si>
    <t>919.20</t>
  </si>
  <si>
    <t>18.81</t>
  </si>
  <si>
    <t>9591.47</t>
  </si>
  <si>
    <t>0.11</t>
  </si>
  <si>
    <t>114.49</t>
  </si>
  <si>
    <t>32.30</t>
  </si>
  <si>
    <t>811.34</t>
  </si>
  <si>
    <t>34.53</t>
  </si>
  <si>
    <t>85.38</t>
  </si>
  <si>
    <t>0.12</t>
  </si>
  <si>
    <t>510.49</t>
  </si>
  <si>
    <t>8.</t>
  </si>
  <si>
    <t>Nestle India</t>
  </si>
  <si>
    <t>1514.70</t>
  </si>
  <si>
    <t>77.77</t>
  </si>
  <si>
    <t>292081.85</t>
  </si>
  <si>
    <t>0.79</t>
  </si>
  <si>
    <t>975.12</t>
  </si>
  <si>
    <t>48.61</t>
  </si>
  <si>
    <t>6378.18</t>
  </si>
  <si>
    <t>25.16</t>
  </si>
  <si>
    <t>84.14</t>
  </si>
  <si>
    <t>0.08</t>
  </si>
  <si>
    <t>3860.49</t>
  </si>
  <si>
    <t>9.</t>
  </si>
  <si>
    <t>P &amp; G Health Ltd</t>
  </si>
  <si>
    <t>6552.00</t>
  </si>
  <si>
    <t>33.30</t>
  </si>
  <si>
    <t>10875.90</t>
  </si>
  <si>
    <t>2.40</t>
  </si>
  <si>
    <t>94.60</t>
  </si>
  <si>
    <t>54.63</t>
  </si>
  <si>
    <t>370.45</t>
  </si>
  <si>
    <t>19.12</t>
  </si>
  <si>
    <t>83.53</t>
  </si>
  <si>
    <t>326.91</t>
  </si>
  <si>
    <t>10.</t>
  </si>
  <si>
    <t>GE Power</t>
  </si>
  <si>
    <t>739.50</t>
  </si>
  <si>
    <t>17.78</t>
  </si>
  <si>
    <t>4971.52</t>
  </si>
  <si>
    <t>0.95</t>
  </si>
  <si>
    <t>113.21</t>
  </si>
  <si>
    <t>418.10</t>
  </si>
  <si>
    <t>316.40</t>
  </si>
  <si>
    <t>18.78</t>
  </si>
  <si>
    <t>81.99</t>
  </si>
  <si>
    <t>252.61</t>
  </si>
  <si>
    <t>11.</t>
  </si>
  <si>
    <t>GE Vernova T&amp;D</t>
  </si>
  <si>
    <t>4343.00</t>
  </si>
  <si>
    <t>86.96</t>
  </si>
  <si>
    <t>111202.48</t>
  </si>
  <si>
    <t>0.23</t>
  </si>
  <si>
    <t>351.77</t>
  </si>
  <si>
    <t>86.32</t>
  </si>
  <si>
    <t>1637.08</t>
  </si>
  <si>
    <t>42.04</t>
  </si>
  <si>
    <t>76.43</t>
  </si>
  <si>
    <t>0.01</t>
  </si>
  <si>
    <t>1233.25</t>
  </si>
  <si>
    <t>12.</t>
  </si>
  <si>
    <t>Multi Comm. Exc.</t>
  </si>
  <si>
    <t>2644.05</t>
  </si>
  <si>
    <t>50.66</t>
  </si>
  <si>
    <t>67421.12</t>
  </si>
  <si>
    <t>0.22</t>
  </si>
  <si>
    <t>529.77</t>
  </si>
  <si>
    <t>291.09</t>
  </si>
  <si>
    <t>888.94</t>
  </si>
  <si>
    <t>205.13</t>
  </si>
  <si>
    <t>71.37</t>
  </si>
  <si>
    <t>1331.55</t>
  </si>
  <si>
    <t>13.</t>
  </si>
  <si>
    <t>International Gemological Instit</t>
  </si>
  <si>
    <t>365.05</t>
  </si>
  <si>
    <t>25.92</t>
  </si>
  <si>
    <t>15775.98</t>
  </si>
  <si>
    <t>0.71</t>
  </si>
  <si>
    <t>165.74</t>
  </si>
  <si>
    <t>30.99</t>
  </si>
  <si>
    <t>370.78</t>
  </si>
  <si>
    <t>23.22</t>
  </si>
  <si>
    <t>69.25</t>
  </si>
  <si>
    <t>0.10</t>
  </si>
  <si>
    <t>609.68</t>
  </si>
  <si>
    <t>14.</t>
  </si>
  <si>
    <t>Siemens Ener.Ind</t>
  </si>
  <si>
    <t>3294.55</t>
  </si>
  <si>
    <t>86.98</t>
  </si>
  <si>
    <t>117325.71</t>
  </si>
  <si>
    <t>374.60</t>
  </si>
  <si>
    <t>52.21</t>
  </si>
  <si>
    <t>2394.10</t>
  </si>
  <si>
    <t>27.38</t>
  </si>
  <si>
    <t>67.75</t>
  </si>
  <si>
    <t>0.04</t>
  </si>
  <si>
    <t>1309.80</t>
  </si>
  <si>
    <t>15.</t>
  </si>
  <si>
    <t>Esab India</t>
  </si>
  <si>
    <t>5657.95</t>
  </si>
  <si>
    <t>45.18</t>
  </si>
  <si>
    <t>8709.29</t>
  </si>
  <si>
    <t>1.33</t>
  </si>
  <si>
    <t>43.55</t>
  </si>
  <si>
    <t>-8.18</t>
  </si>
  <si>
    <t>395.75</t>
  </si>
  <si>
    <t>7.62</t>
  </si>
  <si>
    <t>64.68</t>
  </si>
  <si>
    <t>206.69</t>
  </si>
  <si>
    <t>16.</t>
  </si>
  <si>
    <t>Page Industries</t>
  </si>
  <si>
    <t>40220.00</t>
  </si>
  <si>
    <t>56.81</t>
  </si>
  <si>
    <t>44860.89</t>
  </si>
  <si>
    <t>2.23</t>
  </si>
  <si>
    <t>178.73</t>
  </si>
  <si>
    <t>8.98</t>
  </si>
  <si>
    <t>1252.60</t>
  </si>
  <si>
    <t>14.07</t>
  </si>
  <si>
    <t>64.39</t>
  </si>
  <si>
    <t>0.18</t>
  </si>
  <si>
    <t>763.82</t>
  </si>
  <si>
    <t>17.</t>
  </si>
  <si>
    <t>Jindal Poly Inve</t>
  </si>
  <si>
    <t>1027.30</t>
  </si>
  <si>
    <t>1.25</t>
  </si>
  <si>
    <t>1079.67</t>
  </si>
  <si>
    <t>35.16</t>
  </si>
  <si>
    <t>-47.25</t>
  </si>
  <si>
    <t>47.28</t>
  </si>
  <si>
    <t>503.83</t>
  </si>
  <si>
    <t>63.41</t>
  </si>
  <si>
    <t>857.51</t>
  </si>
  <si>
    <t>18.</t>
  </si>
  <si>
    <t>TCS</t>
  </si>
  <si>
    <t>2431.55</t>
  </si>
  <si>
    <t>16.41</t>
  </si>
  <si>
    <t>879756.07</t>
  </si>
  <si>
    <t>2.66</t>
  </si>
  <si>
    <t>13420.00</t>
  </si>
  <si>
    <t>8.45</t>
  </si>
  <si>
    <t>72275.00</t>
  </si>
  <si>
    <t>13.93</t>
  </si>
  <si>
    <t>63.03</t>
  </si>
  <si>
    <t>50055.00</t>
  </si>
  <si>
    <t>19.</t>
  </si>
  <si>
    <t>Glaxosmi. Pharma</t>
  </si>
  <si>
    <t>2650.00</t>
  </si>
  <si>
    <t>46.66</t>
  </si>
  <si>
    <t>44892.60</t>
  </si>
  <si>
    <t>2.16</t>
  </si>
  <si>
    <t>277.86</t>
  </si>
  <si>
    <t>5.70</t>
  </si>
  <si>
    <t>995.30</t>
  </si>
  <si>
    <t>2.15</t>
  </si>
  <si>
    <t>61.41</t>
  </si>
  <si>
    <t>1035.98</t>
  </si>
  <si>
    <t>20.</t>
  </si>
  <si>
    <t>Tenneco Clean</t>
  </si>
  <si>
    <t>544.40</t>
  </si>
  <si>
    <t>35.24</t>
  </si>
  <si>
    <t>21972.21</t>
  </si>
  <si>
    <t>166.79</t>
  </si>
  <si>
    <t>18.87</t>
  </si>
  <si>
    <t>1552.45</t>
  </si>
  <si>
    <t>17.09</t>
  </si>
  <si>
    <t>60.76</t>
  </si>
  <si>
    <t>604.36</t>
  </si>
  <si>
    <t>21.</t>
  </si>
  <si>
    <t>Castrol India</t>
  </si>
  <si>
    <t>186.75</t>
  </si>
  <si>
    <t>18.91</t>
  </si>
  <si>
    <t>18471.81</t>
  </si>
  <si>
    <t>4.66</t>
  </si>
  <si>
    <t>242.18</t>
  </si>
  <si>
    <t>3.74</t>
  </si>
  <si>
    <t>1545.24</t>
  </si>
  <si>
    <t>8.67</t>
  </si>
  <si>
    <t>60.27</t>
  </si>
  <si>
    <t>958.65</t>
  </si>
  <si>
    <t>22.</t>
  </si>
  <si>
    <t>Sanofi India</t>
  </si>
  <si>
    <t>3394.90</t>
  </si>
  <si>
    <t>23.79</t>
  </si>
  <si>
    <t>7818.45</t>
  </si>
  <si>
    <t>2.24</t>
  </si>
  <si>
    <t>102.60</t>
  </si>
  <si>
    <t>-14.14</t>
  </si>
  <si>
    <t>472.30</t>
  </si>
  <si>
    <t>-11.87</t>
  </si>
  <si>
    <t>57.51</t>
  </si>
  <si>
    <t>309.80</t>
  </si>
  <si>
    <t>23.</t>
  </si>
  <si>
    <t>Ingersoll-Rand</t>
  </si>
  <si>
    <t>4378.70</t>
  </si>
  <si>
    <t>52.42</t>
  </si>
  <si>
    <t>13822.69</t>
  </si>
  <si>
    <t>1.72</t>
  </si>
  <si>
    <t>64.81</t>
  </si>
  <si>
    <t>-20.32</t>
  </si>
  <si>
    <t>299.63</t>
  </si>
  <si>
    <t>-7.05</t>
  </si>
  <si>
    <t>57.11</t>
  </si>
  <si>
    <t>256.03</t>
  </si>
  <si>
    <t>24.</t>
  </si>
  <si>
    <t>SBI Funds Mgt.</t>
  </si>
  <si>
    <t>585.90</t>
  </si>
  <si>
    <t>38.90</t>
  </si>
  <si>
    <t>119337.72</t>
  </si>
  <si>
    <t/>
  </si>
  <si>
    <t>56.50</t>
  </si>
  <si>
    <t>3067.38</t>
  </si>
  <si>
    <t>25.</t>
  </si>
  <si>
    <t>Crizac</t>
  </si>
  <si>
    <t>202.65</t>
  </si>
  <si>
    <t>16.14</t>
  </si>
  <si>
    <t>3545.98</t>
  </si>
  <si>
    <t>3.97</t>
  </si>
  <si>
    <t>74.50</t>
  </si>
  <si>
    <t>50.26</t>
  </si>
  <si>
    <t>391.73</t>
  </si>
  <si>
    <t>15.02</t>
  </si>
  <si>
    <t>52.34</t>
  </si>
  <si>
    <t>219.19</t>
  </si>
  <si>
    <t>IR-C-C-6377</t>
  </si>
  <si>
    <t>Hindu CollegeMore DetailsClose |  | TLR (100)RPC (100)GO (100)OI (100)PERCEPTION (100)86.0066.9288.9077.3596.08</t>
  </si>
  <si>
    <t>Delhi</t>
  </si>
  <si>
    <t>Delhi_1</t>
  </si>
  <si>
    <t>84.01</t>
  </si>
  <si>
    <t>1</t>
  </si>
  <si>
    <t>IR-C-C-6355</t>
  </si>
  <si>
    <t>Miranda HouseMore DetailsClose |  | TLR (100)RPC (100)GO (100)OI (100)PERCEPTION (100)83.4869.0988.9884.7987.30</t>
  </si>
  <si>
    <t>IR-C-C-6425</t>
  </si>
  <si>
    <t>Hans Raj CollegeMore DetailsClose |  | TLR (100)RPC (100)GO (100)OI (100)PERCEPTION (100)85.0096.3170.6577.8178.61</t>
  </si>
  <si>
    <t>IR-C-C-6385</t>
  </si>
  <si>
    <t>Kirori Mal CollegeMore DetailsClose |  | TLR (100)RPC (100)GO (100)OI (100)PERCEPTION (100)86.6779.6583.6173.7854.29</t>
  </si>
  <si>
    <t>IR-C-C-22470</t>
  </si>
  <si>
    <t>St. Stephens's CollegeMore DetailsClose |  | TLR (100)RPC (100)GO (100)OI (100)PERCEPTION (100)82.2745.9691.2374.9093.15</t>
  </si>
  <si>
    <t>IR-C-I-1317</t>
  </si>
  <si>
    <t>Rama Krishna Mission Vivekananda Centenary CollegeMore DetailsClose |  | TLR (100)RPC (100)GO (100)OI (100)PERCEPTION (100)80.5773.0493.3455.0547.04</t>
  </si>
  <si>
    <t>Kolkata</t>
  </si>
  <si>
    <t>West Bengal</t>
  </si>
  <si>
    <t>IR-C-C-22462</t>
  </si>
  <si>
    <t>Atma Ram Sanatan Dharm CollegeMore DetailsClose |  | TLR (100)RPC (100)GO (100)OI (100)PERCEPTION (100)74.2896.3680.1470.9747.98</t>
  </si>
  <si>
    <t>New Delhi</t>
  </si>
  <si>
    <t>IR-C-C-11881</t>
  </si>
  <si>
    <t>St. Xavier`s CollegeMore DetailsClose |  | TLR (100)RPC (100)GO (100)OI (100)PERCEPTION (100)75.2268.8388.1658.6277.56</t>
  </si>
  <si>
    <t>IR-C-C-41046</t>
  </si>
  <si>
    <t>PSGR Krishnammal College for WomenMore DetailsClose |  | TLR (100)RPC (100)GO (100)OI (100)PERCEPTION (100)79.8260.4982.4968.8270.25</t>
  </si>
  <si>
    <t>Coimbatore</t>
  </si>
  <si>
    <t>Tamil Nadu</t>
  </si>
  <si>
    <t>IR-C-C-41124</t>
  </si>
  <si>
    <t>PSG College of Arts and ScienceMore DetailsClose |  | TLR (100)RPC (100)GO (100)OI (100)PERCEPTION (100)73.4474.0073.5653.4489.42</t>
  </si>
  <si>
    <t>IR-C-C-6369</t>
  </si>
  <si>
    <t>Sri Venkateswara CollegeMore DetailsClose |  | TLR (100)RPC (100)GO (100)OI (100)PERCEPTION (100)79.3782.1775.0273.2624.47</t>
  </si>
  <si>
    <t>IR-C-C-11691</t>
  </si>
  <si>
    <t>Rajagiri College of Social SciencesMore DetailsClose |  | TLR (100)RPC (100)GO (100)OI (100)PERCEPTION (100)81.8975.4976.3560.5625.01</t>
  </si>
  <si>
    <t>Ernakulam</t>
  </si>
  <si>
    <t>Kerala</t>
  </si>
  <si>
    <t>IR-C-C-6409</t>
  </si>
  <si>
    <t>Deshbandhu CollegeMore DetailsClose |  | TLR (100)RPC (100)GO (100)OI (100)PERCEPTION (100)69.7584.6985.3666.0627.11</t>
  </si>
  <si>
    <t>IR-C-C-44006</t>
  </si>
  <si>
    <t>Loyola CollegeMore DetailsClose |  | TLR (100)RPC (100)GO (100)OI (100)PERCEPTION (100)63.7094.7166.8248.3199.10</t>
  </si>
  <si>
    <t>Chennai</t>
  </si>
  <si>
    <t>IR-C-C-43921</t>
  </si>
  <si>
    <t>Presidency CollegeMore DetailsClose |  | TLR (100)RPC (100)GO (100)OI (100)PERCEPTION (100)78.4459.4668.5954.0477.71</t>
  </si>
  <si>
    <t>IR-C-C-43965</t>
  </si>
  <si>
    <t>Madras Christian CollegeMore DetailsClose |  | TLR (100)RPC (100)GO (100)OI (100)PERCEPTION (100)74.8569.8765.4358.4879.35</t>
  </si>
  <si>
    <t>IR-C-C-6415</t>
  </si>
  <si>
    <t>Lady Shri Ram College For WomenMore DetailsClose |  | TLR (100)RPC (100)GO (100)OI (100)PERCEPTION (100)61.0329.4194.6973.78100.00</t>
  </si>
  <si>
    <t>IR-C-C-6419</t>
  </si>
  <si>
    <t>Shri Ram College of CommerceMore DetailsClose |  | TLR (100)RPC (100)GO (100)OI (100)PERCEPTION (100)68.7316.3695.9178.2172.72</t>
  </si>
  <si>
    <t>IR-C-C-11926</t>
  </si>
  <si>
    <t>Ramakrishna Mission VidyamandiraMore DetailsClose |  | TLR (100)RPC (100)GO (100)OI (100)PERCEPTION (100)79.6958.6487.5834.7629.59</t>
  </si>
  <si>
    <t>Howrah</t>
  </si>
  <si>
    <t>IR-C-C-36513</t>
  </si>
  <si>
    <t>Thiagarajar CollegeMore DetailsClose |  | TLR (100)RPC (100)GO (100)OI (100)PERCEPTION (100)75.6870.2178.0053.5232.83</t>
  </si>
  <si>
    <t>Madurai</t>
  </si>
  <si>
    <t>IR-C-C-6380</t>
  </si>
  <si>
    <t>Acharya Narendra Dev CollegeMore DetailsClose |  | TLR (100)RPC (100)GO (100)OI (100)PERCEPTION (100)71.9385.9868.8564.7428.61</t>
  </si>
  <si>
    <t>IR-C-C-41157</t>
  </si>
  <si>
    <t>V.O. Chidambaram CollegeMore DetailsClose |  | TLR (100)RPC (100)GO (100)OI (100)PERCEPTION (100)75.9171.9077.1757.7510.35</t>
  </si>
  <si>
    <t>Thoothukudi</t>
  </si>
  <si>
    <t>IR-C-C-43671</t>
  </si>
  <si>
    <t>University College, ThiruvananthapuramMore DetailsClose |  | TLR (100)RPC (100)GO (100)OI (100)PERCEPTION (100)76.5663.3075.0954.8328.12</t>
  </si>
  <si>
    <t>Thiruvananthapuram</t>
  </si>
  <si>
    <t>IR-C-C-42814</t>
  </si>
  <si>
    <t>Ramakrishna Mission Residential CollegeMore DetailsClose |  | TLR (100)RPC (100)GO (100)OI (100)PERCEPTION (100)77.7745.5088.5033.5234.14</t>
  </si>
  <si>
    <t>IR-C-C-35860</t>
  </si>
  <si>
    <t>St. Joseph's College, TiruchirappalliMore DetailsClose |  | TLR (100)RPC (100)GO (100)OI (100)PERCEPTION (100)71.4560.6977.8349.3945.09</t>
  </si>
  <si>
    <t>Tiruchirappalli</t>
  </si>
  <si>
    <t>IR-C-C-6367</t>
  </si>
  <si>
    <t>Daulat Ram CollegeMore DetailsClose |  | TLR (100)RPC (100)GO (100)OI (100)PERCEPTION (100)72.7434.1873.7274.6044.42</t>
  </si>
  <si>
    <t>IR-C-C-6361</t>
  </si>
  <si>
    <t>Deen Dayal Upadhyaya CollegeMore DetailsClose |  | TLR (100)RPC (100)GO (100)OI (100)PERCEPTION (100)62.0780.3065.6471.1637.86</t>
  </si>
  <si>
    <t>IR-C-C-6371</t>
  </si>
  <si>
    <t>Ramjas CollegeMore DetailsClose |  | TLR (100)RPC (100)GO (100)OI (100)PERCEPTION (100)68.2275.7462.5471.5323.92</t>
  </si>
  <si>
    <t>IR-C-C-6353</t>
  </si>
  <si>
    <t>Sri Guru Tegh Bahadur Khalsa CollegeMore DetailsClose |  | TLR (100)RPC (100)GO (100)OI (100)PERCEPTION (100)80.3948.5565.9063.819.58</t>
  </si>
  <si>
    <t>IR-C-C-6376</t>
  </si>
  <si>
    <t>Delhi College of Arts &amp; CommerceMore DetailsClose |  | TLR (100)RPC (100)GO (100)OI (100)PERCEPTION (100)75.4910.8783.8065.1038.25</t>
  </si>
  <si>
    <t>South West</t>
  </si>
  <si>
    <t>IR-C-C-27608</t>
  </si>
  <si>
    <t>Lady Irwin CollegeMore DetailsClose |  | TLR (100)RPC (100)GO (100)OI (100)PERCEPTION (100)70.9541.3069.4863.5245.75</t>
  </si>
  <si>
    <t>IR-C-C-6413</t>
  </si>
  <si>
    <t>Sri Guru Gobind Singh College of CommerceMore DetailsClose |  | TLR (100)RPC (100)GO (100)OI (100)PERCEPTION (100)74.5710.1994.2568.318.79</t>
  </si>
  <si>
    <t>IR-C-C-6429</t>
  </si>
  <si>
    <t>Gargi CollegeMore DetailsClose |  | TLR (100)RPC (100)GO (100)OI (100)PERCEPTION (100)66.6746.5568.8971.6844.42</t>
  </si>
  <si>
    <t>IR-C-C-20653</t>
  </si>
  <si>
    <t>Kristu Jayanti CollegeMore DetailsClose |  | TLR (100)RPC (100)GO (100)OI (100)PERCEPTION (100)77.8734.7368.9370.9316.05</t>
  </si>
  <si>
    <t>Bengaluru</t>
  </si>
  <si>
    <t>Karnataka</t>
  </si>
  <si>
    <t>IR-C-C-29284</t>
  </si>
  <si>
    <t>Govt Home Science CollegeMore DetailsClose |  | TLR (100)RPC (100)GO (100)OI (100)PERCEPTION (100)74.7818.0483.8468.0518.00</t>
  </si>
  <si>
    <t>Chandigarh</t>
  </si>
  <si>
    <t>IR-C-C-6432</t>
  </si>
  <si>
    <t>Dyal Singh CollegeMore DetailsClose |  | TLR (100)RPC (100)GO (100)OI (100)PERCEPTION (100)68.0556.3173.2162.8117.36</t>
  </si>
  <si>
    <t>IR-C-C-6431</t>
  </si>
  <si>
    <t>Ramanujan CollegeMore DetailsClose |  | TLR (100)RPC (100)GO (100)OI (100)PERCEPTION (100)67.9637.0481.7471.9314.70</t>
  </si>
  <si>
    <t>IR-C-C-6391</t>
  </si>
  <si>
    <t>Maitreyi CollegeMore DetailsClose |  | TLR (100)RPC (100)GO (100)OI (100)PERCEPTION (100)64.4449.5381.8569.9011.85</t>
  </si>
  <si>
    <t>IR-C-C-6421</t>
  </si>
  <si>
    <t>Shaheed Bhagat Singh CollegeMore DetailsClose |  | TLR (100)RPC (100)GO (100)OI (100)PERCEPTION (100)69.0250.4375.9666.697.18</t>
  </si>
  <si>
    <t>IR-C-C-35868</t>
  </si>
  <si>
    <t>Dhanalakshmi Srinivasan College of Arts &amp; Science for WomenMore DetailsClose |  | TLR (100)RPC (100)GO (100)OI (100)PERCEPTION (100)80.8016.3575.4762.4616.05</t>
  </si>
  <si>
    <t>Perambalur</t>
  </si>
  <si>
    <t>IR-C-C-43931</t>
  </si>
  <si>
    <t>Stella Maris College for WomenMore DetailsClose |  | TLR (100)RPC (100)GO (100)OI (100)PERCEPTION (100)61.8155.9866.6561.1653.48</t>
  </si>
  <si>
    <t>IR-C-C-19103</t>
  </si>
  <si>
    <t>Midnapore CollegeMore DetailsClose |  | TLR (100)RPC (100)GO (100)OI (100)PERCEPTION (100)71.9455.2467.9357.1414.70</t>
  </si>
  <si>
    <t>Midnapore</t>
  </si>
  <si>
    <t>IR-C-C-6357</t>
  </si>
  <si>
    <t>Shyam Lal CollegeMore DetailsClose |  | TLR (100)RPC (100)GO (100)OI (100)PERCEPTION (100)71.2935.7580.3267.212.84</t>
  </si>
  <si>
    <t>IR-C-C-11708</t>
  </si>
  <si>
    <t>Sacred Heart CollegeMore DetailsClose |  | TLR (100)RPC (100)GO (100)OI (100)PERCEPTION (100)70.5046.6776.3956.757.99</t>
  </si>
  <si>
    <t>Kochi</t>
  </si>
  <si>
    <t>IR-C-C-6387</t>
  </si>
  <si>
    <t>Bhaskaracharya College of Applied SciencesMore DetailsClose |  | TLR (100)RPC (100)GO (100)OI (100)PERCEPTION (100)64.5387.9957.7352.8814.70</t>
  </si>
  <si>
    <t>IR-C-C-35825</t>
  </si>
  <si>
    <t>Bishop Heber CollegeMore DetailsClose |  | TLR (100)RPC (100)GO (100)OI (100)PERCEPTION (100)63.9753.4272.6547.9936.25</t>
  </si>
  <si>
    <t>IR-C-C-11971</t>
  </si>
  <si>
    <t>Lady Brabourne CollegeMore DetailsClose |  | TLR (100)RPC (100)GO (100)OI (100)PERCEPTION (100)70.3345.5266.2354.9731.47</t>
  </si>
  <si>
    <t>KOLKATA</t>
  </si>
  <si>
    <t>IR-C-C-41173</t>
  </si>
  <si>
    <t>St. Xavier's College, PalayamkottaiMore DetailsClose |  | TLR (100)RPC (100)GO (100)OI (100)PERCEPTION (100)67.3057.8269.8050.6720.47</t>
  </si>
  <si>
    <t>Palayamkottai</t>
  </si>
  <si>
    <t>IR-C-C-8308</t>
  </si>
  <si>
    <t>Pachhunga University CollegeMore DetailsClose |  | TLR (100)RPC (100)GO (100)OI (100)PERCEPTION (100)66.0074.5064.2653.478.79</t>
  </si>
  <si>
    <t>Aizawl</t>
  </si>
  <si>
    <t>Mizoram</t>
  </si>
  <si>
    <t>IR-C-C-41126</t>
  </si>
  <si>
    <t>Sri Krishna Arts and Science CollegeMore DetailsClose |  | TLR (100)RPC (100)GO (100)OI (100)PERCEPTION (100)71.4915.1985.4660.2114.70</t>
  </si>
  <si>
    <t>IR-C-C-6502</t>
  </si>
  <si>
    <t>Kanchi Mamunivar Govt. Institute for Postgraduate Studies and ResearchMore DetailsClose |  | TLR (100)RPC (100)GO (100)OI (100)PERCEPTION (100)60.1461.4183.5246.277.99</t>
  </si>
  <si>
    <t>PUDUCHERRY</t>
  </si>
  <si>
    <t>Pondicherry</t>
  </si>
  <si>
    <t>IR-C-C-35787</t>
  </si>
  <si>
    <t>Holy Cross College, TiruchirappalliMore DetailsClose |  | TLR (100)RPC (100)GO (100)OI (100)PERCEPTION (100)69.1132.8878.7854.6417.36</t>
  </si>
  <si>
    <t>IR-C-C-8169</t>
  </si>
  <si>
    <t>St. Thomas College, ThrissurMore DetailsClose |  | TLR (100)RPC (100)GO (100)OI (100)PERCEPTION (100)66.8645.1779.2854.813.74</t>
  </si>
  <si>
    <t>Thrissur</t>
  </si>
  <si>
    <t>IR-C-C-43705</t>
  </si>
  <si>
    <t>Govt. College for Women, ThiruvananthapuramMore DetailsClose |  | TLR (100)RPC (100)GO (100)OI (100)PERCEPTION (100)74.4550.8959.2353.6614.01</t>
  </si>
  <si>
    <t>IR-C-C-43964</t>
  </si>
  <si>
    <t>Madras School of Social WorkMore DetailsClose |  | TLR (100)RPC (100)GO (100)OI (100)PERCEPTION (100)70.745.8479.3353.6545.42</t>
  </si>
  <si>
    <t>IR-C-C-11831</t>
  </si>
  <si>
    <t>St Berchmans College (Autonomous), Changanacherry, KeralaMore DetailsClose |  | TLR (100)RPC (100)GO (100)OI (100)PERCEPTION (100)64.0269.4667.5648.276.34</t>
  </si>
  <si>
    <t>Kottayam</t>
  </si>
  <si>
    <t>IR-C-I-1385</t>
  </si>
  <si>
    <t>Fergusson College (Autonomous)More DetailsClose |  | TLR (100)RPC (100)GO (100)OI (100)PERCEPTION (100)52.9326.9276.3652.9987.54</t>
  </si>
  <si>
    <t>IR-C-C-6417</t>
  </si>
  <si>
    <t>Kamala Nehru CollegeMore DetailsClose |  | TLR (100)RPC (100)GO (100)OI (100)PERCEPTION (100)59.4015.6389.3875.4522.23</t>
  </si>
  <si>
    <t>IR-C-C-36547</t>
  </si>
  <si>
    <t>The American CollegeMore DetailsClose |  | TLR (100)RPC (100)GO (100)OI (100)PERCEPTION (100)72.2443.0557.3045.7738.64</t>
  </si>
  <si>
    <t>IR-C-C-11582</t>
  </si>
  <si>
    <t>St. Teresa's College, ErnakulamMore DetailsClose |  | TLR (100)RPC (100)GO (100)OI (100)PERCEPTION (100)75.8414.3474.4058.049.58</t>
  </si>
  <si>
    <t>IR-C-C-43767</t>
  </si>
  <si>
    <t>Mar Ivanios College, ThiruvananthapuramMore DetailsClose |  | TLR (100)RPC (100)GO (100)OI (100)PERCEPTION (100)64.6558.8169.0353.524.63</t>
  </si>
  <si>
    <t>IR-C-N-6</t>
  </si>
  <si>
    <t>Queen Mary`s CollegeMore DetailsClose |  | TLR (100)RPC (100)GO (100)OI (100)PERCEPTION (100)65.4934.2474.1358.2519.87</t>
  </si>
  <si>
    <t>IR-C-C-41154</t>
  </si>
  <si>
    <t>Nesamony Memorial Christian College, Marthandam, Kanyakumari Dist.More DetailsClose |  | TLR (100)RPC (100)GO (100)OI (100)PERCEPTION (100)69.8768.5655.7255.120.00</t>
  </si>
  <si>
    <t>Marthandam</t>
  </si>
  <si>
    <t>IR-C-C-43902</t>
  </si>
  <si>
    <t>Ethiraj College for WomenMore DetailsClose |  | TLR (100)RPC (100)GO (100)OI (100)PERCEPTION (100)65.4219.3168.9253.4460.01</t>
  </si>
  <si>
    <t>IR-C-C-6426</t>
  </si>
  <si>
    <t>Shaheed Rajguru College of Applied Sciences for WomenMore DetailsClose |  | TLR (100)RPC (100)GO (100)OI (100)PERCEPTION (100)64.3653.9666.3869.831.91</t>
  </si>
  <si>
    <t>IR-C-C-41054</t>
  </si>
  <si>
    <t>Dr. N. G. P. Arts and Science CollegeMore DetailsClose |  | TLR (100)RPC (100)GO (100)OI (100)PERCEPTION (100)69.3536.0869.9053.9215.38</t>
  </si>
  <si>
    <t>IR-C-C-20729</t>
  </si>
  <si>
    <t>M S Ramaiah College of Arts, Science, and CommerceMore DetailsClose |  | TLR (100)RPC (100)GO (100)OI (100)PERCEPTION (100)60.6625.4581.6560.8729.10</t>
  </si>
  <si>
    <t>IR-C-C-41035</t>
  </si>
  <si>
    <t>Government Arts CollegeMore DetailsClose |  | TLR (100)RPC (100)GO (100)OI (100)PERCEPTION (100)70.7122.5770.3853.6828.61</t>
  </si>
  <si>
    <t>IR-C-C-6366</t>
  </si>
  <si>
    <t>Shivaji CollegeMore DetailsClose |  | TLR (100)RPC (100)GO (100)OI (100)PERCEPTION (100)55.8863.3376.8361.362.84</t>
  </si>
  <si>
    <t>IR-C-I-1373</t>
  </si>
  <si>
    <t>Goswami Ganesh Dutta S.D. CollegeMore DetailsClose |  | TLR (100)RPC (100)GO (100)OI (100)PERCEPTION (100)53.6135.9582.3673.9926.07</t>
  </si>
  <si>
    <t>IR-C-C-35848</t>
  </si>
  <si>
    <t>Government Arts CollegeMore DetailsClose |  | TLR (100)RPC (100)GO (100)OI (100)PERCEPTION (100)70.3224.3780.1354.790.00</t>
  </si>
  <si>
    <t>Kumbakonam</t>
  </si>
  <si>
    <t>IR-C-C-36579</t>
  </si>
  <si>
    <t>Ayya Nadar Janaki Ammal CollegeMore DetailsClose |  | TLR (100)RPC (100)GO (100)OI (100)PERCEPTION (100)66.3045.1566.0851.2423.37</t>
  </si>
  <si>
    <t>Sivakasi</t>
  </si>
  <si>
    <t>IR-C-C-16897</t>
  </si>
  <si>
    <t>St. Aloysius CollegeMore DetailsClose |  | TLR (100)RPC (100)GO (100)OI (100)PERCEPTION (100)71.1320.2166.1073.0918.64</t>
  </si>
  <si>
    <t>Mangaluru</t>
  </si>
  <si>
    <t>IR-C-C-8010</t>
  </si>
  <si>
    <t>St. Joseph’s College, DevagiriMore DetailsClose |  | TLR (100)RPC (100)GO (100)OI (100)PERCEPTION (100)70.3334.7469.8453.697.18</t>
  </si>
  <si>
    <t>Kozhikode</t>
  </si>
  <si>
    <t>IR-C-C-11697</t>
  </si>
  <si>
    <t>Maharaja's College, ErnakulamMore DetailsClose |  | TLR (100)RPC (100)GO (100)OI (100)PERCEPTION (100)74.6928.7460.9956.1618.00</t>
  </si>
  <si>
    <t>IR-C-C-28526</t>
  </si>
  <si>
    <t>Alagappa Government Arts College, KaraikudiMore DetailsClose |  | TLR (100)RPC (100)GO (100)OI (100)PERCEPTION (100)63.3535.1368.8247.8541.99</t>
  </si>
  <si>
    <t>Karaikudi</t>
  </si>
  <si>
    <t>IR-C-C-41100</t>
  </si>
  <si>
    <t>Sri Ramakrishna College of Arts and ScienceMore DetailsClose |  | TLR (100)RPC (100)GO (100)OI (100)PERCEPTION (100)71.5430.4261.0857.3526.07</t>
  </si>
  <si>
    <t>IR-C-C-8008</t>
  </si>
  <si>
    <t>Vimala College, ThrissurMore DetailsClose |  | TLR (100)RPC (100)GO (100)OI (100)PERCEPTION (100)74.2915.1073.3961.600.97</t>
  </si>
  <si>
    <t>IR-C-C-35846</t>
  </si>
  <si>
    <t>Rajah Serfoji Government College, Thanjavur - 613 005.More DetailsClose |  | TLR (100)RPC (100)GO (100)OI (100)PERCEPTION (100)61.7951.3574.3754.620.97</t>
  </si>
  <si>
    <t>Thanjavur</t>
  </si>
  <si>
    <t>IR-C-C-36411</t>
  </si>
  <si>
    <t>Sacred Heart College (Autonomous)More DetailsClose |  | TLR (100)RPC (100)GO (100)OI (100)PERCEPTION (100)61.6975.4055.5653.3013.30</t>
  </si>
  <si>
    <t>Tirupattur</t>
  </si>
  <si>
    <t>IR-C-C-9552</t>
  </si>
  <si>
    <t>Sri Sarada College for Women(Autonomous)More DetailsClose |  | TLR (100)RPC (100)GO (100)OI (100)PERCEPTION (100)68.1535.8169.4253.0711.85</t>
  </si>
  <si>
    <t>Salem</t>
  </si>
  <si>
    <t>IR-C-C-8023</t>
  </si>
  <si>
    <t>Farook College, KozhikkodeMore DetailsClose |  | TLR (100)RPC (100)GO (100)OI (100)PERCEPTION (100)66.0136.3169.4964.241.91</t>
  </si>
  <si>
    <t>IR-C-I-1322</t>
  </si>
  <si>
    <t>St. Joseph's CollegeMore DetailsClose |  | TLR (100)RPC (100)GO (100)OI (100)PERCEPTION (100)65.4819.0382.3259.122.84</t>
  </si>
  <si>
    <t>IR-C-C-35832</t>
  </si>
  <si>
    <t>Jamal Mohamed College, TiruchirappalliMore DetailsClose |  | TLR (100)RPC (100)GO (100)OI (100)PERCEPTION (100)68.2943.6060.2450.8116.71</t>
  </si>
  <si>
    <t>IR-C-C-6420</t>
  </si>
  <si>
    <t>Jesus &amp; Mary CollegeMore DetailsClose |  | TLR (100)RPC (100)GO (100)OI (100)PERCEPTION (100)61.1311.7778.1968.3730.54</t>
  </si>
  <si>
    <t>IR-C-C-11771</t>
  </si>
  <si>
    <t>CMS College KottayamMore DetailsClose |  | TLR (100)RPC (100)GO (100)OI (100)PERCEPTION (100)66.2740.7154.6953.5239.41</t>
  </si>
  <si>
    <t>IR-C-C-8213</t>
  </si>
  <si>
    <t>Christ College (Autonomous)More DetailsClose |  | TLR (100)RPC (100)GO (100)OI (100)PERCEPTION (100)70.1930.8662.5156.3015.38</t>
  </si>
  <si>
    <t>IR-C-C-41140</t>
  </si>
  <si>
    <t>A.P.C. Mahalaxmi College for WomenMore DetailsClose |  | TLR (100)RPC (100)GO (100)OI (100)PERCEPTION (100)69.8215.7473.6059.537.99</t>
  </si>
  <si>
    <t>Thoothukkudi</t>
  </si>
  <si>
    <t>IR-C-C-33555</t>
  </si>
  <si>
    <t>St. Xavier`s CollegeMore DetailsClose |  | TLR (100)RPC (100)GO (100)OI (100)PERCEPTION (100)54.1732.5072.1754.7750.97</t>
  </si>
  <si>
    <t>IR-C-C-6358</t>
  </si>
  <si>
    <t>Ram Lal Anand CollegeMore DetailsClose |  | TLR (100)RPC (100)GO (100)OI (100)PERCEPTION (100)67.7725.2069.9765.261.91</t>
  </si>
  <si>
    <t>IR-C-C-43968</t>
  </si>
  <si>
    <t>DG Vaishnav CollegeMore DetailsClose |  | TLR (100)RPC (100)GO (100)OI (100)PERCEPTION (100)59.6943.9170.5646.4622.80</t>
  </si>
  <si>
    <t>IR-C-C-11815</t>
  </si>
  <si>
    <t>Mar Athanasius CollegeMore DetailsClose |  | TLR (100)RPC (100)GO (100)OI (100)PERCEPTION (100)70.1131.2164.9854.555.49</t>
  </si>
  <si>
    <t>Kothamangalam</t>
  </si>
  <si>
    <t>IR-C-C-43229</t>
  </si>
  <si>
    <t>Shri Shivaji Science College , Morshi Road , Amravati.More DetailsClose |  | TLR (100)RPC (100)GO (100)OI (100)PERCEPTION (100)67.5027.0873.5248.574.63</t>
  </si>
  <si>
    <t>Amravati</t>
  </si>
  <si>
    <t>IR-C-I-1293</t>
  </si>
  <si>
    <t>Sri Ramakrishna Mission Vidyalaya College of Arts and ScienceMore DetailsClose |  | TLR (100)RPC (100)GO (100)OI (100)PERCEPTION (100)60.3181.8461.647.9820.47</t>
  </si>
  <si>
    <t>IR-C-C-6381</t>
  </si>
  <si>
    <t>Keshav MahavidyalyaMore DetailsClose |  | TLR (100)RPC (100)GO (100)OI (100)PERCEPTION (100)65.3844.8962.7555.824.63</t>
  </si>
  <si>
    <t>IR-C-C-11742</t>
  </si>
  <si>
    <t>Union Christian CollegeMore DetailsClose |  | TLR (100)RPC (100)GO (100)OI (100)PERCEPTION (100)63.1130.3175.7153.684.63</t>
  </si>
  <si>
    <t>IR-C-C-22467</t>
  </si>
  <si>
    <t>PGDAV CollegeMore DetailsClose |  | TLR (100)RPC (100)GO (100)OI (100)PERCEPTION (100)67.6039.6560.0657.197.99</t>
  </si>
  <si>
    <t>IR-C-C-20830</t>
  </si>
  <si>
    <t>St. Joseph`s College of CommerceMore DetailsClose |  | TLR (100)RPC (100)GO (100)OI (100)PERCEPTION (100)64.190.6078.9166.3723.37</t>
  </si>
  <si>
    <t>IR-C-C-43646</t>
  </si>
  <si>
    <t>Government College, AttingalMore DetailsClose |  | TLR (100)RPC (100)GO (100)OI (100)PERCEPTION (100)66.144.8684.4656.644.63</t>
  </si>
  <si>
    <t>IR-C-C-36529</t>
  </si>
  <si>
    <t>Fatima CollegeMore DetailsClose |  | TLR (100)RPC (100)GO (100)OI (100)PERCEPTION (100)64.3132.6464.2356.5920.47</t>
  </si>
  <si>
    <t>Row Labels</t>
  </si>
  <si>
    <t>Grand Total</t>
  </si>
  <si>
    <t>Count of 84.01</t>
  </si>
  <si>
    <t>(All)</t>
  </si>
  <si>
    <t>Count of 1</t>
  </si>
  <si>
    <t>Column Labels</t>
  </si>
  <si>
    <t>Count of State</t>
  </si>
  <si>
    <t>Names</t>
  </si>
  <si>
    <t>Count of City</t>
  </si>
  <si>
    <t xml:space="preserve">Insitute id </t>
  </si>
  <si>
    <t xml:space="preserve">City </t>
  </si>
  <si>
    <t>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</si>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</sst>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 1.xlsx]customercsv!PivotTable3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customercsv!$I$3:$I$4</c:f>
              <c:strCache>
                <c:ptCount val="1"/>
                <c:pt idx="0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customercsv!$H$5:$H$15</c:f>
              <c:strCache>
                <c:ptCount val="10"/>
                <c:pt idx="0">
                  <c:v>Amit Sharma</c:v>
                </c:pt>
                <c:pt idx="1">
                  <c:v>Anjali Gupta</c:v>
                </c:pt>
                <c:pt idx="2">
                  <c:v>Karan Shah</c:v>
                </c:pt>
                <c:pt idx="3">
                  <c:v>Neha Patel</c:v>
                </c:pt>
                <c:pt idx="4">
                  <c:v>Pooja Mehta</c:v>
                </c:pt>
                <c:pt idx="5">
                  <c:v>Priya Singh</c:v>
                </c:pt>
                <c:pt idx="6">
                  <c:v>Raj Verma</c:v>
                </c:pt>
                <c:pt idx="7">
                  <c:v>Rohit Jain</c:v>
                </c:pt>
                <c:pt idx="8">
                  <c:v>Sneha Joshi</c:v>
                </c:pt>
                <c:pt idx="9">
                  <c:v>Vikas Yadav</c:v>
                </c:pt>
              </c:strCache>
            </c:strRef>
          </c:cat>
          <c:val>
            <c:numRef>
              <c:f>customercsv!$I$5:$I$15</c:f>
              <c:numCache>
                <c:formatCode>General</c:formatCode>
                <c:ptCount val="10"/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A-4299-A0E5-6CD80C23EA3A}"/>
            </c:ext>
          </c:extLst>
        </c:ser>
        <c:ser>
          <c:idx val="1"/>
          <c:order val="1"/>
          <c:tx>
            <c:strRef>
              <c:f>customercsv!$J$3:$J$4</c:f>
              <c:strCache>
                <c:ptCount val="1"/>
                <c:pt idx="0">
                  <c:v>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customercsv!$H$5:$H$15</c:f>
              <c:strCache>
                <c:ptCount val="10"/>
                <c:pt idx="0">
                  <c:v>Amit Sharma</c:v>
                </c:pt>
                <c:pt idx="1">
                  <c:v>Anjali Gupta</c:v>
                </c:pt>
                <c:pt idx="2">
                  <c:v>Karan Shah</c:v>
                </c:pt>
                <c:pt idx="3">
                  <c:v>Neha Patel</c:v>
                </c:pt>
                <c:pt idx="4">
                  <c:v>Pooja Mehta</c:v>
                </c:pt>
                <c:pt idx="5">
                  <c:v>Priya Singh</c:v>
                </c:pt>
                <c:pt idx="6">
                  <c:v>Raj Verma</c:v>
                </c:pt>
                <c:pt idx="7">
                  <c:v>Rohit Jain</c:v>
                </c:pt>
                <c:pt idx="8">
                  <c:v>Sneha Joshi</c:v>
                </c:pt>
                <c:pt idx="9">
                  <c:v>Vikas Yadav</c:v>
                </c:pt>
              </c:strCache>
            </c:strRef>
          </c:cat>
          <c:val>
            <c:numRef>
              <c:f>customercsv!$J$5:$J$15</c:f>
              <c:numCache>
                <c:formatCode>General</c:formatCode>
                <c:ptCount val="10"/>
                <c:pt idx="0">
                  <c:v>1</c:v>
                </c:pt>
                <c:pt idx="2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3A-4299-A0E5-6CD80C23E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 1.xlsx]customercsv!PivotTable4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customercsv!$C$14:$C$15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customercsv!$B$16:$B$26</c:f>
              <c:strCache>
                <c:ptCount val="10"/>
                <c:pt idx="0">
                  <c:v>Amit Sharma</c:v>
                </c:pt>
                <c:pt idx="1">
                  <c:v>Anjali Gupta</c:v>
                </c:pt>
                <c:pt idx="2">
                  <c:v>Karan Shah</c:v>
                </c:pt>
                <c:pt idx="3">
                  <c:v>Neha Patel</c:v>
                </c:pt>
                <c:pt idx="4">
                  <c:v>Pooja Mehta</c:v>
                </c:pt>
                <c:pt idx="5">
                  <c:v>Priya Singh</c:v>
                </c:pt>
                <c:pt idx="6">
                  <c:v>Raj Verma</c:v>
                </c:pt>
                <c:pt idx="7">
                  <c:v>Rohit Jain</c:v>
                </c:pt>
                <c:pt idx="8">
                  <c:v>Sneha Joshi</c:v>
                </c:pt>
                <c:pt idx="9">
                  <c:v>Vikas Yadav</c:v>
                </c:pt>
              </c:strCache>
            </c:strRef>
          </c:cat>
          <c:val>
            <c:numRef>
              <c:f>customercsv!$C$16:$C$26</c:f>
              <c:numCache>
                <c:formatCode>General</c:formatCode>
                <c:ptCount val="10"/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5-47CE-83C1-D9D62B268CB5}"/>
            </c:ext>
          </c:extLst>
        </c:ser>
        <c:ser>
          <c:idx val="1"/>
          <c:order val="1"/>
          <c:tx>
            <c:strRef>
              <c:f>customercsv!$D$14:$D$15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customercsv!$B$16:$B$26</c:f>
              <c:strCache>
                <c:ptCount val="10"/>
                <c:pt idx="0">
                  <c:v>Amit Sharma</c:v>
                </c:pt>
                <c:pt idx="1">
                  <c:v>Anjali Gupta</c:v>
                </c:pt>
                <c:pt idx="2">
                  <c:v>Karan Shah</c:v>
                </c:pt>
                <c:pt idx="3">
                  <c:v>Neha Patel</c:v>
                </c:pt>
                <c:pt idx="4">
                  <c:v>Pooja Mehta</c:v>
                </c:pt>
                <c:pt idx="5">
                  <c:v>Priya Singh</c:v>
                </c:pt>
                <c:pt idx="6">
                  <c:v>Raj Verma</c:v>
                </c:pt>
                <c:pt idx="7">
                  <c:v>Rohit Jain</c:v>
                </c:pt>
                <c:pt idx="8">
                  <c:v>Sneha Joshi</c:v>
                </c:pt>
                <c:pt idx="9">
                  <c:v>Vikas Yadav</c:v>
                </c:pt>
              </c:strCache>
            </c:strRef>
          </c:cat>
          <c:val>
            <c:numRef>
              <c:f>customercsv!$D$16:$D$26</c:f>
              <c:numCache>
                <c:formatCode>General</c:formatCode>
                <c:ptCount val="10"/>
                <c:pt idx="0">
                  <c:v>1</c:v>
                </c:pt>
                <c:pt idx="2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15-47CE-83C1-D9D62B268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022912"/>
        <c:axId val="202863696"/>
      </c:barChart>
      <c:catAx>
        <c:axId val="134102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63696"/>
        <c:crosses val="autoZero"/>
        <c:auto val="1"/>
        <c:lblAlgn val="ctr"/>
        <c:lblOffset val="100"/>
        <c:noMultiLvlLbl val="0"/>
      </c:catAx>
      <c:valAx>
        <c:axId val="2028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02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29-4756-962D-3D83AE2F52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29-4756-962D-3D83AE2F52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29-4756-962D-3D83AE2F52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29-4756-962D-3D83AE2F52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29-4756-962D-3D83AE2F52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D29-4756-962D-3D83AE2F52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D29-4756-962D-3D83AE2F52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D29-4756-962D-3D83AE2F527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D29-4756-962D-3D83AE2F527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D29-4756-962D-3D83AE2F527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D29-4756-962D-3D83AE2F527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D29-4756-962D-3D83AE2F527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D29-4756-962D-3D83AE2F527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D29-4756-962D-3D83AE2F527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D29-4756-962D-3D83AE2F527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D29-4756-962D-3D83AE2F527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D29-4756-962D-3D83AE2F527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D29-4756-962D-3D83AE2F527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D29-4756-962D-3D83AE2F527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D29-4756-962D-3D83AE2F527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D29-4756-962D-3D83AE2F527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D29-4756-962D-3D83AE2F527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D29-4756-962D-3D83AE2F527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D29-4756-962D-3D83AE2F527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D29-4756-962D-3D83AE2F527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D29-4756-962D-3D83AE2F527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D29-4756-962D-3D83AE2F527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D29-4756-962D-3D83AE2F527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D29-4756-962D-3D83AE2F527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FD29-4756-962D-3D83AE2F527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FD29-4756-962D-3D83AE2F527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D29-4756-962D-3D83AE2F527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FD29-4756-962D-3D83AE2F527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FD29-4756-962D-3D83AE2F527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FD29-4756-962D-3D83AE2F527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FD29-4756-962D-3D83AE2F527F}"/>
              </c:ext>
            </c:extLst>
          </c:dPt>
          <c:cat>
            <c:strLit>
              <c:ptCount val="36"/>
              <c:pt idx="0">
                <c:v>Aizawl</c:v>
              </c:pt>
              <c:pt idx="1">
                <c:v>Amravati</c:v>
              </c:pt>
              <c:pt idx="2">
                <c:v>Bengaluru</c:v>
              </c:pt>
              <c:pt idx="3">
                <c:v>Chandigarh</c:v>
              </c:pt>
              <c:pt idx="4">
                <c:v>Chennai</c:v>
              </c:pt>
              <c:pt idx="5">
                <c:v>Coimbatore</c:v>
              </c:pt>
              <c:pt idx="6">
                <c:v>Delhi</c:v>
              </c:pt>
              <c:pt idx="7">
                <c:v>Ernakulam</c:v>
              </c:pt>
              <c:pt idx="8">
                <c:v>Howrah</c:v>
              </c:pt>
              <c:pt idx="9">
                <c:v>Karaikudi</c:v>
              </c:pt>
              <c:pt idx="10">
                <c:v>Kochi</c:v>
              </c:pt>
              <c:pt idx="11">
                <c:v>Kolkata</c:v>
              </c:pt>
              <c:pt idx="12">
                <c:v>Kothamangalam</c:v>
              </c:pt>
              <c:pt idx="13">
                <c:v>Kottayam</c:v>
              </c:pt>
              <c:pt idx="14">
                <c:v>Kozhikode</c:v>
              </c:pt>
              <c:pt idx="15">
                <c:v>Kumbakonam</c:v>
              </c:pt>
              <c:pt idx="16">
                <c:v>Madurai</c:v>
              </c:pt>
              <c:pt idx="17">
                <c:v>Mangaluru</c:v>
              </c:pt>
              <c:pt idx="18">
                <c:v>Marthandam</c:v>
              </c:pt>
              <c:pt idx="19">
                <c:v>Midnapore</c:v>
              </c:pt>
              <c:pt idx="20">
                <c:v>Mumbai</c:v>
              </c:pt>
              <c:pt idx="21">
                <c:v>New Delhi</c:v>
              </c:pt>
              <c:pt idx="22">
                <c:v>Palayamkottai</c:v>
              </c:pt>
              <c:pt idx="23">
                <c:v>Perambalur</c:v>
              </c:pt>
              <c:pt idx="24">
                <c:v>PUDUCHERRY</c:v>
              </c:pt>
              <c:pt idx="25">
                <c:v>Pune</c:v>
              </c:pt>
              <c:pt idx="26">
                <c:v>Salem</c:v>
              </c:pt>
              <c:pt idx="27">
                <c:v>Sivakasi</c:v>
              </c:pt>
              <c:pt idx="28">
                <c:v>South West</c:v>
              </c:pt>
              <c:pt idx="29">
                <c:v>Thanjavur</c:v>
              </c:pt>
              <c:pt idx="30">
                <c:v>Thiruvananthapuram</c:v>
              </c:pt>
              <c:pt idx="31">
                <c:v>Thoothukkudi</c:v>
              </c:pt>
              <c:pt idx="32">
                <c:v>Thoothukudi</c:v>
              </c:pt>
              <c:pt idx="33">
                <c:v>Thrissur</c:v>
              </c:pt>
              <c:pt idx="34">
                <c:v>Tiruchirappalli</c:v>
              </c:pt>
              <c:pt idx="35">
                <c:v>Tirupattur</c:v>
              </c:pt>
            </c:strLit>
          </c:cat>
          <c:val>
            <c:numLit>
              <c:formatCode>General</c:formatCode>
              <c:ptCount val="36"/>
              <c:pt idx="0">
                <c:v>1</c:v>
              </c:pt>
              <c:pt idx="1">
                <c:v>1</c:v>
              </c:pt>
              <c:pt idx="2">
                <c:v>3</c:v>
              </c:pt>
              <c:pt idx="3">
                <c:v>2</c:v>
              </c:pt>
              <c:pt idx="4">
                <c:v>8</c:v>
              </c:pt>
              <c:pt idx="5">
                <c:v>7</c:v>
              </c:pt>
              <c:pt idx="6">
                <c:v>17</c:v>
              </c:pt>
              <c:pt idx="7">
                <c:v>4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4</c:v>
              </c:pt>
              <c:pt idx="12">
                <c:v>1</c:v>
              </c:pt>
              <c:pt idx="13">
                <c:v>2</c:v>
              </c:pt>
              <c:pt idx="14">
                <c:v>2</c:v>
              </c:pt>
              <c:pt idx="15">
                <c:v>1</c:v>
              </c:pt>
              <c:pt idx="16">
                <c:v>3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13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4</c:v>
              </c:pt>
              <c:pt idx="31">
                <c:v>1</c:v>
              </c:pt>
              <c:pt idx="32">
                <c:v>1</c:v>
              </c:pt>
              <c:pt idx="33">
                <c:v>4</c:v>
              </c:pt>
              <c:pt idx="34">
                <c:v>4</c:v>
              </c:pt>
              <c:pt idx="3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3BB-440E-8753-4004B5A35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 1.xlsx]Sheet1!PivotTable1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87-4BBC-98EB-DE06FF2FBE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87-4BBC-98EB-DE06FF2FBE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87-4BBC-98EB-DE06FF2FBE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87-4BBC-98EB-DE06FF2FBE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87-4BBC-98EB-DE06FF2FBE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87-4BBC-98EB-DE06FF2FBE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87-4BBC-98EB-DE06FF2FBEF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E87-4BBC-98EB-DE06FF2FBEF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E87-4BBC-98EB-DE06FF2FBEFB}"/>
              </c:ext>
            </c:extLst>
          </c:dPt>
          <c:cat>
            <c:strRef>
              <c:f>Sheet1!$A$4:$A$13</c:f>
              <c:strCache>
                <c:ptCount val="9"/>
                <c:pt idx="0">
                  <c:v>Chandigarh</c:v>
                </c:pt>
                <c:pt idx="1">
                  <c:v>Delhi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Mizoram</c:v>
                </c:pt>
                <c:pt idx="6">
                  <c:v>Pondicherry</c:v>
                </c:pt>
                <c:pt idx="7">
                  <c:v>Tamil Nadu</c:v>
                </c:pt>
                <c:pt idx="8">
                  <c:v>West Bengal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9"/>
                <c:pt idx="0">
                  <c:v>2</c:v>
                </c:pt>
                <c:pt idx="1">
                  <c:v>31</c:v>
                </c:pt>
                <c:pt idx="2">
                  <c:v>4</c:v>
                </c:pt>
                <c:pt idx="3">
                  <c:v>18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33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E87-4BBC-98EB-DE06FF2FB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397668</xdr:colOff>
      <xdr:row>15</xdr:row>
      <xdr:rowOff>157163</xdr:rowOff>
    </xdr:from>
    <xdr:to>
      <xdr:col>13</xdr:col>
      <xdr:colOff>16668</xdr:colOff>
      <xdr:row>31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0D8577-2605-8AC4-7B5E-D0485C058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73818</xdr:colOff>
      <xdr:row>27</xdr:row>
      <xdr:rowOff>61912</xdr:rowOff>
    </xdr:from>
    <xdr:to>
      <xdr:col>5</xdr:col>
      <xdr:colOff>264318</xdr:colOff>
      <xdr:row>42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AA65A-08AF-386F-234F-32E444032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307180</xdr:colOff>
      <xdr:row>0</xdr:row>
      <xdr:rowOff>161925</xdr:rowOff>
    </xdr:from>
    <xdr:to>
      <xdr:col>0</xdr:col>
      <xdr:colOff>4879180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91BE6-F7BB-8FB0-F9EF-579A5B969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5603080</xdr:colOff>
      <xdr:row>1</xdr:row>
      <xdr:rowOff>19050</xdr:rowOff>
    </xdr:from>
    <xdr:to>
      <xdr:col>6</xdr:col>
      <xdr:colOff>35717</xdr:colOff>
      <xdr:row>16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4F92727-CE71-022A-928E-5B62E2F84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I MODI" refreshedDate="46237.775131828705" createdVersion="8" refreshedVersion="8" minRefreshableVersion="3" recordCount="99" xr:uid="{1A89271D-713D-4F13-9BF7-765CCB60FB70}">
  <cacheSource type="worksheet">
    <worksheetSource ref="A2:F101" sheet="Table 1 (2)"/>
  </cacheSource>
  <cacheFields count="6">
    <cacheField name="IR-C-C-6377" numFmtId="0">
      <sharedItems count="99">
        <s v="IR-C-C-6355"/>
        <s v="IR-C-C-6425"/>
        <s v="IR-C-C-6385"/>
        <s v="IR-C-C-22470"/>
        <s v="IR-C-I-1317"/>
        <s v="IR-C-C-22462"/>
        <s v="IR-C-C-11881"/>
        <s v="IR-C-C-41046"/>
        <s v="IR-C-C-41124"/>
        <s v="IR-C-C-6369"/>
        <s v="IR-C-C-11691"/>
        <s v="IR-C-C-6409"/>
        <s v="IR-C-C-44006"/>
        <s v="IR-C-C-43921"/>
        <s v="IR-C-C-43965"/>
        <s v="IR-C-C-6415"/>
        <s v="IR-C-C-6419"/>
        <s v="IR-C-C-11926"/>
        <s v="IR-C-C-36513"/>
        <s v="IR-C-C-6380"/>
        <s v="IR-C-C-41157"/>
        <s v="IR-C-C-43671"/>
        <s v="IR-C-C-42814"/>
        <s v="IR-C-C-35860"/>
        <s v="IR-C-C-6367"/>
        <s v="IR-C-C-6361"/>
        <s v="IR-C-C-6371"/>
        <s v="IR-C-C-6353"/>
        <s v="IR-C-C-6376"/>
        <s v="IR-C-C-27608"/>
        <s v="IR-C-C-6413"/>
        <s v="IR-C-C-6429"/>
        <s v="IR-C-C-20653"/>
        <s v="IR-C-C-29284"/>
        <s v="IR-C-C-6432"/>
        <s v="IR-C-C-6431"/>
        <s v="IR-C-C-6391"/>
        <s v="IR-C-C-6421"/>
        <s v="IR-C-C-35868"/>
        <s v="IR-C-C-43931"/>
        <s v="IR-C-C-19103"/>
        <s v="IR-C-C-6357"/>
        <s v="IR-C-C-11708"/>
        <s v="IR-C-C-6387"/>
        <s v="IR-C-C-35825"/>
        <s v="IR-C-C-11971"/>
        <s v="IR-C-C-41173"/>
        <s v="IR-C-C-8308"/>
        <s v="IR-C-C-41126"/>
        <s v="IR-C-C-6502"/>
        <s v="IR-C-C-35787"/>
        <s v="IR-C-C-8169"/>
        <s v="IR-C-C-43705"/>
        <s v="IR-C-C-43964"/>
        <s v="IR-C-C-11831"/>
        <s v="IR-C-I-1385"/>
        <s v="IR-C-C-6417"/>
        <s v="IR-C-C-36547"/>
        <s v="IR-C-C-11582"/>
        <s v="IR-C-C-43767"/>
        <s v="IR-C-N-6"/>
        <s v="IR-C-C-41154"/>
        <s v="IR-C-C-43902"/>
        <s v="IR-C-C-6426"/>
        <s v="IR-C-C-41054"/>
        <s v="IR-C-C-20729"/>
        <s v="IR-C-C-41035"/>
        <s v="IR-C-C-6366"/>
        <s v="IR-C-I-1373"/>
        <s v="IR-C-C-35848"/>
        <s v="IR-C-C-36579"/>
        <s v="IR-C-C-16897"/>
        <s v="IR-C-C-8010"/>
        <s v="IR-C-C-11697"/>
        <s v="IR-C-C-28526"/>
        <s v="IR-C-C-41100"/>
        <s v="IR-C-C-8008"/>
        <s v="IR-C-C-35846"/>
        <s v="IR-C-C-36411"/>
        <s v="IR-C-C-9552"/>
        <s v="IR-C-C-8023"/>
        <s v="IR-C-I-1322"/>
        <s v="IR-C-C-35832"/>
        <s v="IR-C-C-6420"/>
        <s v="IR-C-C-11771"/>
        <s v="IR-C-C-8213"/>
        <s v="IR-C-C-41140"/>
        <s v="IR-C-C-33555"/>
        <s v="IR-C-C-6358"/>
        <s v="IR-C-C-43968"/>
        <s v="IR-C-C-11815"/>
        <s v="IR-C-C-43229"/>
        <s v="IR-C-I-1293"/>
        <s v="IR-C-C-6381"/>
        <s v="IR-C-C-11742"/>
        <s v="IR-C-C-22467"/>
        <s v="IR-C-C-20830"/>
        <s v="IR-C-C-43646"/>
        <s v="IR-C-C-36529"/>
      </sharedItems>
    </cacheField>
    <cacheField name="Hindu CollegeMore DetailsClose |  | TLR (100)RPC (100)GO (100)OI (100)PERCEPTION (100)86.0066.9288.9077.3596.08" numFmtId="0">
      <sharedItems count="99">
        <s v="Miranda HouseMore DetailsClose |  | TLR (100)RPC (100)GO (100)OI (100)PERCEPTION (100)83.4869.0988.9884.7987.30"/>
        <s v="Hans Raj CollegeMore DetailsClose |  | TLR (100)RPC (100)GO (100)OI (100)PERCEPTION (100)85.0096.3170.6577.8178.61"/>
        <s v="Kirori Mal CollegeMore DetailsClose |  | TLR (100)RPC (100)GO (100)OI (100)PERCEPTION (100)86.6779.6583.6173.7854.29"/>
        <s v="St. Stephens's CollegeMore DetailsClose |  | TLR (100)RPC (100)GO (100)OI (100)PERCEPTION (100)82.2745.9691.2374.9093.15"/>
        <s v="Rama Krishna Mission Vivekananda Centenary CollegeMore DetailsClose |  | TLR (100)RPC (100)GO (100)OI (100)PERCEPTION (100)80.5773.0493.3455.0547.04"/>
        <s v="Atma Ram Sanatan Dharm CollegeMore DetailsClose |  | TLR (100)RPC (100)GO (100)OI (100)PERCEPTION (100)74.2896.3680.1470.9747.98"/>
        <s v="St. Xavier`s CollegeMore DetailsClose |  | TLR (100)RPC (100)GO (100)OI (100)PERCEPTION (100)75.2268.8388.1658.6277.56"/>
        <s v="PSGR Krishnammal College for WomenMore DetailsClose |  | TLR (100)RPC (100)GO (100)OI (100)PERCEPTION (100)79.8260.4982.4968.8270.25"/>
        <s v="PSG College of Arts and ScienceMore DetailsClose |  | TLR (100)RPC (100)GO (100)OI (100)PERCEPTION (100)73.4474.0073.5653.4489.42"/>
        <s v="Sri Venkateswara CollegeMore DetailsClose |  | TLR (100)RPC (100)GO (100)OI (100)PERCEPTION (100)79.3782.1775.0273.2624.47"/>
        <s v="Rajagiri College of Social SciencesMore DetailsClose |  | TLR (100)RPC (100)GO (100)OI (100)PERCEPTION (100)81.8975.4976.3560.5625.01"/>
        <s v="Deshbandhu CollegeMore DetailsClose |  | TLR (100)RPC (100)GO (100)OI (100)PERCEPTION (100)69.7584.6985.3666.0627.11"/>
        <s v="Loyola CollegeMore DetailsClose |  | TLR (100)RPC (100)GO (100)OI (100)PERCEPTION (100)63.7094.7166.8248.3199.10"/>
        <s v="Presidency CollegeMore DetailsClose |  | TLR (100)RPC (100)GO (100)OI (100)PERCEPTION (100)78.4459.4668.5954.0477.71"/>
        <s v="Madras Christian CollegeMore DetailsClose |  | TLR (100)RPC (100)GO (100)OI (100)PERCEPTION (100)74.8569.8765.4358.4879.35"/>
        <s v="Lady Shri Ram College For WomenMore DetailsClose |  | TLR (100)RPC (100)GO (100)OI (100)PERCEPTION (100)61.0329.4194.6973.78100.00"/>
        <s v="Shri Ram College of CommerceMore DetailsClose |  | TLR (100)RPC (100)GO (100)OI (100)PERCEPTION (100)68.7316.3695.9178.2172.72"/>
        <s v="Ramakrishna Mission VidyamandiraMore DetailsClose |  | TLR (100)RPC (100)GO (100)OI (100)PERCEPTION (100)79.6958.6487.5834.7629.59"/>
        <s v="Thiagarajar CollegeMore DetailsClose |  | TLR (100)RPC (100)GO (100)OI (100)PERCEPTION (100)75.6870.2178.0053.5232.83"/>
        <s v="Acharya Narendra Dev CollegeMore DetailsClose |  | TLR (100)RPC (100)GO (100)OI (100)PERCEPTION (100)71.9385.9868.8564.7428.61"/>
        <s v="V.O. Chidambaram CollegeMore DetailsClose |  | TLR (100)RPC (100)GO (100)OI (100)PERCEPTION (100)75.9171.9077.1757.7510.35"/>
        <s v="University College, ThiruvananthapuramMore DetailsClose |  | TLR (100)RPC (100)GO (100)OI (100)PERCEPTION (100)76.5663.3075.0954.8328.12"/>
        <s v="Ramakrishna Mission Residential CollegeMore DetailsClose |  | TLR (100)RPC (100)GO (100)OI (100)PERCEPTION (100)77.7745.5088.5033.5234.14"/>
        <s v="St. Joseph's College, TiruchirappalliMore DetailsClose |  | TLR (100)RPC (100)GO (100)OI (100)PERCEPTION (100)71.4560.6977.8349.3945.09"/>
        <s v="Daulat Ram CollegeMore DetailsClose |  | TLR (100)RPC (100)GO (100)OI (100)PERCEPTION (100)72.7434.1873.7274.6044.42"/>
        <s v="Deen Dayal Upadhyaya CollegeMore DetailsClose |  | TLR (100)RPC (100)GO (100)OI (100)PERCEPTION (100)62.0780.3065.6471.1637.86"/>
        <s v="Ramjas CollegeMore DetailsClose |  | TLR (100)RPC (100)GO (100)OI (100)PERCEPTION (100)68.2275.7462.5471.5323.92"/>
        <s v="Sri Guru Tegh Bahadur Khalsa CollegeMore DetailsClose |  | TLR (100)RPC (100)GO (100)OI (100)PERCEPTION (100)80.3948.5565.9063.819.58"/>
        <s v="Delhi College of Arts &amp; CommerceMore DetailsClose |  | TLR (100)RPC (100)GO (100)OI (100)PERCEPTION (100)75.4910.8783.8065.1038.25"/>
        <s v="Lady Irwin CollegeMore DetailsClose |  | TLR (100)RPC (100)GO (100)OI (100)PERCEPTION (100)70.9541.3069.4863.5245.75"/>
        <s v="Sri Guru Gobind Singh College of CommerceMore DetailsClose |  | TLR (100)RPC (100)GO (100)OI (100)PERCEPTION (100)74.5710.1994.2568.318.79"/>
        <s v="Gargi CollegeMore DetailsClose |  | TLR (100)RPC (100)GO (100)OI (100)PERCEPTION (100)66.6746.5568.8971.6844.42"/>
        <s v="Kristu Jayanti CollegeMore DetailsClose |  | TLR (100)RPC (100)GO (100)OI (100)PERCEPTION (100)77.8734.7368.9370.9316.05"/>
        <s v="Govt Home Science CollegeMore DetailsClose |  | TLR (100)RPC (100)GO (100)OI (100)PERCEPTION (100)74.7818.0483.8468.0518.00"/>
        <s v="Dyal Singh CollegeMore DetailsClose |  | TLR (100)RPC (100)GO (100)OI (100)PERCEPTION (100)68.0556.3173.2162.8117.36"/>
        <s v="Ramanujan CollegeMore DetailsClose |  | TLR (100)RPC (100)GO (100)OI (100)PERCEPTION (100)67.9637.0481.7471.9314.70"/>
        <s v="Maitreyi CollegeMore DetailsClose |  | TLR (100)RPC (100)GO (100)OI (100)PERCEPTION (100)64.4449.5381.8569.9011.85"/>
        <s v="Shaheed Bhagat Singh CollegeMore DetailsClose |  | TLR (100)RPC (100)GO (100)OI (100)PERCEPTION (100)69.0250.4375.9666.697.18"/>
        <s v="Dhanalakshmi Srinivasan College of Arts &amp; Science for WomenMore DetailsClose |  | TLR (100)RPC (100)GO (100)OI (100)PERCEPTION (100)80.8016.3575.4762.4616.05"/>
        <s v="Stella Maris College for WomenMore DetailsClose |  | TLR (100)RPC (100)GO (100)OI (100)PERCEPTION (100)61.8155.9866.6561.1653.48"/>
        <s v="Midnapore CollegeMore DetailsClose |  | TLR (100)RPC (100)GO (100)OI (100)PERCEPTION (100)71.9455.2467.9357.1414.70"/>
        <s v="Shyam Lal CollegeMore DetailsClose |  | TLR (100)RPC (100)GO (100)OI (100)PERCEPTION (100)71.2935.7580.3267.212.84"/>
        <s v="Sacred Heart CollegeMore DetailsClose |  | TLR (100)RPC (100)GO (100)OI (100)PERCEPTION (100)70.5046.6776.3956.757.99"/>
        <s v="Bhaskaracharya College of Applied SciencesMore DetailsClose |  | TLR (100)RPC (100)GO (100)OI (100)PERCEPTION (100)64.5387.9957.7352.8814.70"/>
        <s v="Bishop Heber CollegeMore DetailsClose |  | TLR (100)RPC (100)GO (100)OI (100)PERCEPTION (100)63.9753.4272.6547.9936.25"/>
        <s v="Lady Brabourne CollegeMore DetailsClose |  | TLR (100)RPC (100)GO (100)OI (100)PERCEPTION (100)70.3345.5266.2354.9731.47"/>
        <s v="St. Xavier's College, PalayamkottaiMore DetailsClose |  | TLR (100)RPC (100)GO (100)OI (100)PERCEPTION (100)67.3057.8269.8050.6720.47"/>
        <s v="Pachhunga University CollegeMore DetailsClose |  | TLR (100)RPC (100)GO (100)OI (100)PERCEPTION (100)66.0074.5064.2653.478.79"/>
        <s v="Sri Krishna Arts and Science CollegeMore DetailsClose |  | TLR (100)RPC (100)GO (100)OI (100)PERCEPTION (100)71.4915.1985.4660.2114.70"/>
        <s v="Kanchi Mamunivar Govt. Institute for Postgraduate Studies and ResearchMore DetailsClose |  | TLR (100)RPC (100)GO (100)OI (100)PERCEPTION (100)60.1461.4183.5246.277.99"/>
        <s v="Holy Cross College, TiruchirappalliMore DetailsClose |  | TLR (100)RPC (100)GO (100)OI (100)PERCEPTION (100)69.1132.8878.7854.6417.36"/>
        <s v="St. Thomas College, ThrissurMore DetailsClose |  | TLR (100)RPC (100)GO (100)OI (100)PERCEPTION (100)66.8645.1779.2854.813.74"/>
        <s v="Govt. College for Women, ThiruvananthapuramMore DetailsClose |  | TLR (100)RPC (100)GO (100)OI (100)PERCEPTION (100)74.4550.8959.2353.6614.01"/>
        <s v="Madras School of Social WorkMore DetailsClose |  | TLR (100)RPC (100)GO (100)OI (100)PERCEPTION (100)70.745.8479.3353.6545.42"/>
        <s v="St Berchmans College (Autonomous), Changanacherry, KeralaMore DetailsClose |  | TLR (100)RPC (100)GO (100)OI (100)PERCEPTION (100)64.0269.4667.5648.276.34"/>
        <s v="Fergusson College (Autonomous)More DetailsClose |  | TLR (100)RPC (100)GO (100)OI (100)PERCEPTION (100)52.9326.9276.3652.9987.54"/>
        <s v="Kamala Nehru CollegeMore DetailsClose |  | TLR (100)RPC (100)GO (100)OI (100)PERCEPTION (100)59.4015.6389.3875.4522.23"/>
        <s v="The American CollegeMore DetailsClose |  | TLR (100)RPC (100)GO (100)OI (100)PERCEPTION (100)72.2443.0557.3045.7738.64"/>
        <s v="St. Teresa's College, ErnakulamMore DetailsClose |  | TLR (100)RPC (100)GO (100)OI (100)PERCEPTION (100)75.8414.3474.4058.049.58"/>
        <s v="Mar Ivanios College, ThiruvananthapuramMore DetailsClose |  | TLR (100)RPC (100)GO (100)OI (100)PERCEPTION (100)64.6558.8169.0353.524.63"/>
        <s v="Queen Mary`s CollegeMore DetailsClose |  | TLR (100)RPC (100)GO (100)OI (100)PERCEPTION (100)65.4934.2474.1358.2519.87"/>
        <s v="Nesamony Memorial Christian College, Marthandam, Kanyakumari Dist.More DetailsClose |  | TLR (100)RPC (100)GO (100)OI (100)PERCEPTION (100)69.8768.5655.7255.120.00"/>
        <s v="Ethiraj College for WomenMore DetailsClose |  | TLR (100)RPC (100)GO (100)OI (100)PERCEPTION (100)65.4219.3168.9253.4460.01"/>
        <s v="Shaheed Rajguru College of Applied Sciences for WomenMore DetailsClose |  | TLR (100)RPC (100)GO (100)OI (100)PERCEPTION (100)64.3653.9666.3869.831.91"/>
        <s v="Dr. N. G. P. Arts and Science CollegeMore DetailsClose |  | TLR (100)RPC (100)GO (100)OI (100)PERCEPTION (100)69.3536.0869.9053.9215.38"/>
        <s v="M S Ramaiah College of Arts, Science, and CommerceMore DetailsClose |  | TLR (100)RPC (100)GO (100)OI (100)PERCEPTION (100)60.6625.4581.6560.8729.10"/>
        <s v="Government Arts CollegeMore DetailsClose |  | TLR (100)RPC (100)GO (100)OI (100)PERCEPTION (100)70.7122.5770.3853.6828.61"/>
        <s v="Shivaji CollegeMore DetailsClose |  | TLR (100)RPC (100)GO (100)OI (100)PERCEPTION (100)55.8863.3376.8361.362.84"/>
        <s v="Goswami Ganesh Dutta S.D. CollegeMore DetailsClose |  | TLR (100)RPC (100)GO (100)OI (100)PERCEPTION (100)53.6135.9582.3673.9926.07"/>
        <s v="Government Arts CollegeMore DetailsClose |  | TLR (100)RPC (100)GO (100)OI (100)PERCEPTION (100)70.3224.3780.1354.790.00"/>
        <s v="Ayya Nadar Janaki Ammal CollegeMore DetailsClose |  | TLR (100)RPC (100)GO (100)OI (100)PERCEPTION (100)66.3045.1566.0851.2423.37"/>
        <s v="St. Aloysius CollegeMore DetailsClose |  | TLR (100)RPC (100)GO (100)OI (100)PERCEPTION (100)71.1320.2166.1073.0918.64"/>
        <s v="St. Joseph’s College, DevagiriMore DetailsClose |  | TLR (100)RPC (100)GO (100)OI (100)PERCEPTION (100)70.3334.7469.8453.697.18"/>
        <s v="Maharaja's College, ErnakulamMore DetailsClose |  | TLR (100)RPC (100)GO (100)OI (100)PERCEPTION (100)74.6928.7460.9956.1618.00"/>
        <s v="Alagappa Government Arts College, KaraikudiMore DetailsClose |  | TLR (100)RPC (100)GO (100)OI (100)PERCEPTION (100)63.3535.1368.8247.8541.99"/>
        <s v="Sri Ramakrishna College of Arts and ScienceMore DetailsClose |  | TLR (100)RPC (100)GO (100)OI (100)PERCEPTION (100)71.5430.4261.0857.3526.07"/>
        <s v="Vimala College, ThrissurMore DetailsClose |  | TLR (100)RPC (100)GO (100)OI (100)PERCEPTION (100)74.2915.1073.3961.600.97"/>
        <s v="Rajah Serfoji Government College, Thanjavur - 613 005.More DetailsClose |  | TLR (100)RPC (100)GO (100)OI (100)PERCEPTION (100)61.7951.3574.3754.620.97"/>
        <s v="Sacred Heart College (Autonomous)More DetailsClose |  | TLR (100)RPC (100)GO (100)OI (100)PERCEPTION (100)61.6975.4055.5653.3013.30"/>
        <s v="Sri Sarada College for Women(Autonomous)More DetailsClose |  | TLR (100)RPC (100)GO (100)OI (100)PERCEPTION (100)68.1535.8169.4253.0711.85"/>
        <s v="Farook College, KozhikkodeMore DetailsClose |  | TLR (100)RPC (100)GO (100)OI (100)PERCEPTION (100)66.0136.3169.4964.241.91"/>
        <s v="St. Joseph's CollegeMore DetailsClose |  | TLR (100)RPC (100)GO (100)OI (100)PERCEPTION (100)65.4819.0382.3259.122.84"/>
        <s v="Jamal Mohamed College, TiruchirappalliMore DetailsClose |  | TLR (100)RPC (100)GO (100)OI (100)PERCEPTION (100)68.2943.6060.2450.8116.71"/>
        <s v="Jesus &amp; Mary CollegeMore DetailsClose |  | TLR (100)RPC (100)GO (100)OI (100)PERCEPTION (100)61.1311.7778.1968.3730.54"/>
        <s v="CMS College KottayamMore DetailsClose |  | TLR (100)RPC (100)GO (100)OI (100)PERCEPTION (100)66.2740.7154.6953.5239.41"/>
        <s v="Christ College (Autonomous)More DetailsClose |  | TLR (100)RPC (100)GO (100)OI (100)PERCEPTION (100)70.1930.8662.5156.3015.38"/>
        <s v="A.P.C. Mahalaxmi College for WomenMore DetailsClose |  | TLR (100)RPC (100)GO (100)OI (100)PERCEPTION (100)69.8215.7473.6059.537.99"/>
        <s v="St. Xavier`s CollegeMore DetailsClose |  | TLR (100)RPC (100)GO (100)OI (100)PERCEPTION (100)54.1732.5072.1754.7750.97"/>
        <s v="Ram Lal Anand CollegeMore DetailsClose |  | TLR (100)RPC (100)GO (100)OI (100)PERCEPTION (100)67.7725.2069.9765.261.91"/>
        <s v="DG Vaishnav CollegeMore DetailsClose |  | TLR (100)RPC (100)GO (100)OI (100)PERCEPTION (100)59.6943.9170.5646.4622.80"/>
        <s v="Mar Athanasius CollegeMore DetailsClose |  | TLR (100)RPC (100)GO (100)OI (100)PERCEPTION (100)70.1131.2164.9854.555.49"/>
        <s v="Shri Shivaji Science College , Morshi Road , Amravati.More DetailsClose |  | TLR (100)RPC (100)GO (100)OI (100)PERCEPTION (100)67.5027.0873.5248.574.63"/>
        <s v="Sri Ramakrishna Mission Vidyalaya College of Arts and ScienceMore DetailsClose |  | TLR (100)RPC (100)GO (100)OI (100)PERCEPTION (100)60.3181.8461.647.9820.47"/>
        <s v="Keshav MahavidyalyaMore DetailsClose |  | TLR (100)RPC (100)GO (100)OI (100)PERCEPTION (100)65.3844.8962.7555.824.63"/>
        <s v="Union Christian CollegeMore DetailsClose |  | TLR (100)RPC (100)GO (100)OI (100)PERCEPTION (100)63.1130.3175.7153.684.63"/>
        <s v="PGDAV CollegeMore DetailsClose |  | TLR (100)RPC (100)GO (100)OI (100)PERCEPTION (100)67.6039.6560.0657.197.99"/>
        <s v="St. Joseph`s College of CommerceMore DetailsClose |  | TLR (100)RPC (100)GO (100)OI (100)PERCEPTION (100)64.190.6078.9166.3723.37"/>
        <s v="Government College, AttingalMore DetailsClose |  | TLR (100)RPC (100)GO (100)OI (100)PERCEPTION (100)66.144.8684.4656.644.63"/>
        <s v="Fatima CollegeMore DetailsClose |  | TLR (100)RPC (100)GO (100)OI (100)PERCEPTION (100)64.3132.6464.2356.5920.47"/>
      </sharedItems>
    </cacheField>
    <cacheField name="Delhi" numFmtId="0">
      <sharedItems count="36">
        <s v="Delhi"/>
        <s v="Kolkata"/>
        <s v="New Delhi"/>
        <s v="Coimbatore"/>
        <s v="Ernakulam"/>
        <s v="Chennai"/>
        <s v="Howrah"/>
        <s v="Madurai"/>
        <s v="Thoothukudi"/>
        <s v="Thiruvananthapuram"/>
        <s v="Tiruchirappalli"/>
        <s v="South West"/>
        <s v="Bengaluru"/>
        <s v="Chandigarh"/>
        <s v="Perambalur"/>
        <s v="Midnapore"/>
        <s v="Kochi"/>
        <s v="Palayamkottai"/>
        <s v="Aizawl"/>
        <s v="PUDUCHERRY"/>
        <s v="Thrissur"/>
        <s v="Kottayam"/>
        <s v="Pune"/>
        <s v="Marthandam"/>
        <s v="Kumbakonam"/>
        <s v="Sivakasi"/>
        <s v="Mangaluru"/>
        <s v="Kozhikode"/>
        <s v="Karaikudi"/>
        <s v="Thanjavur"/>
        <s v="Tirupattur"/>
        <s v="Salem"/>
        <s v="Thoothukkudi"/>
        <s v="Mumbai"/>
        <s v="Kothamangalam"/>
        <s v="Amravati"/>
      </sharedItems>
    </cacheField>
    <cacheField name="Delhi_1" numFmtId="0">
      <sharedItems count="9">
        <s v="Delhi"/>
        <s v="West Bengal"/>
        <s v="Tamil Nadu"/>
        <s v="Kerala"/>
        <s v="Karnataka"/>
        <s v="Chandigarh"/>
        <s v="Mizoram"/>
        <s v="Pondicherry"/>
        <s v="Maharashtra"/>
      </sharedItems>
    </cacheField>
    <cacheField name="84.01" numFmtId="0">
      <sharedItems containsSemiMixedTypes="0" containsString="0" containsNumber="1" minValue="54.39" maxValue="83.2"/>
    </cacheField>
    <cacheField name="1" numFmtId="0">
      <sharedItems containsSemiMixedTypes="0" containsString="0" containsNumber="1" containsInteger="1" minValue="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I MODI" refreshedDate="46238.491125231485" createdVersion="8" refreshedVersion="8" minRefreshableVersion="3" recordCount="10" xr:uid="{3DE169B9-960E-45FA-9CA7-ADC79D6467A3}">
  <cacheSource type="worksheet">
    <worksheetSource ref="A1:E11" sheet="customercsv"/>
  </cacheSource>
  <cacheFields count="5">
    <cacheField name="CustomerID" numFmtId="0">
      <sharedItems/>
    </cacheField>
    <cacheField name="CustomerName" numFmtId="0">
      <sharedItems count="10">
        <s v="Amit Sharma"/>
        <s v="Neha Patel"/>
        <s v="Raj Verma"/>
        <s v="Priya Singh"/>
        <s v="Karan Shah"/>
        <s v="Pooja Mehta"/>
        <s v="Rohit Jain"/>
        <s v="Anjali Gupta"/>
        <s v="Vikas Yadav"/>
        <s v="Sneha Joshi"/>
      </sharedItems>
    </cacheField>
    <cacheField name="City" numFmtId="0">
      <sharedItems/>
    </cacheField>
    <cacheField name="State" numFmtId="0">
      <sharedItems/>
    </cacheField>
    <cacheField name="Gender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I MODI" refreshedDate="46238.49747696759" createdVersion="8" refreshedVersion="8" minRefreshableVersion="3" recordCount="10" xr:uid="{B6F1FC11-E4E4-495C-A448-17830C67BEBF}">
  <cacheSource type="worksheet">
    <worksheetSource ref="B1:E11" sheet="customercsv"/>
  </cacheSource>
  <cacheFields count="4">
    <cacheField name="CustomerName" numFmtId="0">
      <sharedItems count="10">
        <s v="Amit Sharma"/>
        <s v="Neha Patel"/>
        <s v="Raj Verma"/>
        <s v="Priya Singh"/>
        <s v="Karan Shah"/>
        <s v="Pooja Mehta"/>
        <s v="Rohit Jain"/>
        <s v="Anjali Gupta"/>
        <s v="Vikas Yadav"/>
        <s v="Sneha Joshi"/>
      </sharedItems>
    </cacheField>
    <cacheField name="City" numFmtId="0">
      <sharedItems count="10">
        <s v="Ahmedabad"/>
        <s v="Surat"/>
        <s v="Indore"/>
        <s v="Bhopal"/>
        <s v="Vadodara"/>
        <s v="Rajkot"/>
        <s v="Jaipur"/>
        <s v="Udaipur"/>
        <s v="Pune"/>
        <s v="Mumbai"/>
      </sharedItems>
    </cacheField>
    <cacheField name="State" numFmtId="0">
      <sharedItems/>
    </cacheField>
    <cacheField name="Gender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x v="0"/>
    <x v="0"/>
    <n v="83.2"/>
    <n v="2"/>
  </r>
  <r>
    <x v="1"/>
    <x v="1"/>
    <x v="0"/>
    <x v="0"/>
    <n v="81.75"/>
    <n v="3"/>
  </r>
  <r>
    <x v="2"/>
    <x v="2"/>
    <x v="0"/>
    <x v="0"/>
    <n v="80.33"/>
    <n v="4"/>
  </r>
  <r>
    <x v="3"/>
    <x v="3"/>
    <x v="0"/>
    <x v="0"/>
    <n v="79.41"/>
    <n v="5"/>
  </r>
  <r>
    <x v="4"/>
    <x v="4"/>
    <x v="1"/>
    <x v="1"/>
    <n v="76.739999999999995"/>
    <n v="6"/>
  </r>
  <r>
    <x v="5"/>
    <x v="5"/>
    <x v="2"/>
    <x v="0"/>
    <n v="76.09"/>
    <n v="7"/>
  </r>
  <r>
    <x v="6"/>
    <x v="6"/>
    <x v="1"/>
    <x v="1"/>
    <n v="76.069999999999993"/>
    <n v="8"/>
  </r>
  <r>
    <x v="7"/>
    <x v="7"/>
    <x v="3"/>
    <x v="2"/>
    <n v="75.52"/>
    <n v="9"/>
  </r>
  <r>
    <x v="8"/>
    <x v="8"/>
    <x v="3"/>
    <x v="2"/>
    <n v="73.150000000000006"/>
    <n v="10"/>
  </r>
  <r>
    <x v="9"/>
    <x v="9"/>
    <x v="0"/>
    <x v="0"/>
    <n v="72.61"/>
    <n v="11"/>
  </r>
  <r>
    <x v="10"/>
    <x v="10"/>
    <x v="4"/>
    <x v="3"/>
    <n v="71.72"/>
    <n v="12"/>
  </r>
  <r>
    <x v="11"/>
    <x v="11"/>
    <x v="2"/>
    <x v="0"/>
    <n v="71.260000000000005"/>
    <n v="13"/>
  </r>
  <r>
    <x v="12"/>
    <x v="12"/>
    <x v="5"/>
    <x v="2"/>
    <n v="71.14"/>
    <n v="14"/>
  </r>
  <r>
    <x v="13"/>
    <x v="13"/>
    <x v="5"/>
    <x v="2"/>
    <n v="70.62"/>
    <n v="15"/>
  </r>
  <r>
    <x v="14"/>
    <x v="14"/>
    <x v="5"/>
    <x v="2"/>
    <n v="70.569999999999993"/>
    <n v="16"/>
  </r>
  <r>
    <x v="15"/>
    <x v="15"/>
    <x v="2"/>
    <x v="0"/>
    <n v="69.87"/>
    <n v="17"/>
  </r>
  <r>
    <x v="16"/>
    <x v="16"/>
    <x v="0"/>
    <x v="0"/>
    <n v="69.010000000000005"/>
    <n v="18"/>
  </r>
  <r>
    <x v="17"/>
    <x v="17"/>
    <x v="6"/>
    <x v="1"/>
    <n v="69"/>
    <n v="19"/>
  </r>
  <r>
    <x v="18"/>
    <x v="18"/>
    <x v="7"/>
    <x v="2"/>
    <n v="68.930000000000007"/>
    <n v="20"/>
  </r>
  <r>
    <x v="19"/>
    <x v="19"/>
    <x v="2"/>
    <x v="0"/>
    <n v="68.209999999999994"/>
    <n v="21"/>
  </r>
  <r>
    <x v="20"/>
    <x v="20"/>
    <x v="8"/>
    <x v="2"/>
    <n v="67.27"/>
    <n v="22"/>
  </r>
  <r>
    <x v="21"/>
    <x v="21"/>
    <x v="9"/>
    <x v="3"/>
    <n v="67.17"/>
    <n v="23"/>
  </r>
  <r>
    <x v="22"/>
    <x v="22"/>
    <x v="1"/>
    <x v="1"/>
    <n v="66.81"/>
    <n v="24"/>
  </r>
  <r>
    <x v="23"/>
    <x v="23"/>
    <x v="10"/>
    <x v="2"/>
    <n v="66.59"/>
    <n v="25"/>
  </r>
  <r>
    <x v="24"/>
    <x v="24"/>
    <x v="0"/>
    <x v="0"/>
    <n v="64.56"/>
    <n v="26"/>
  </r>
  <r>
    <x v="25"/>
    <x v="25"/>
    <x v="2"/>
    <x v="0"/>
    <n v="64.19"/>
    <n v="27"/>
  </r>
  <r>
    <x v="26"/>
    <x v="26"/>
    <x v="0"/>
    <x v="0"/>
    <n v="63.82"/>
    <n v="28"/>
  </r>
  <r>
    <x v="27"/>
    <x v="27"/>
    <x v="0"/>
    <x v="0"/>
    <n v="63.26"/>
    <n v="29"/>
  </r>
  <r>
    <x v="28"/>
    <x v="28"/>
    <x v="11"/>
    <x v="0"/>
    <n v="63.11"/>
    <n v="30"/>
  </r>
  <r>
    <x v="29"/>
    <x v="29"/>
    <x v="0"/>
    <x v="0"/>
    <n v="62.88"/>
    <n v="31"/>
  </r>
  <r>
    <x v="30"/>
    <x v="30"/>
    <x v="0"/>
    <x v="0"/>
    <n v="62.63"/>
    <n v="32"/>
  </r>
  <r>
    <x v="31"/>
    <x v="31"/>
    <x v="0"/>
    <x v="0"/>
    <n v="62.48"/>
    <n v="33"/>
  </r>
  <r>
    <x v="32"/>
    <x v="32"/>
    <x v="12"/>
    <x v="4"/>
    <n v="62.29"/>
    <n v="34"/>
  </r>
  <r>
    <x v="33"/>
    <x v="33"/>
    <x v="13"/>
    <x v="5"/>
    <n v="62.18"/>
    <n v="35"/>
  </r>
  <r>
    <x v="34"/>
    <x v="34"/>
    <x v="2"/>
    <x v="0"/>
    <n v="61.99"/>
    <n v="36"/>
  </r>
  <r>
    <x v="35"/>
    <x v="35"/>
    <x v="2"/>
    <x v="0"/>
    <n v="61.85"/>
    <n v="37"/>
  </r>
  <r>
    <x v="36"/>
    <x v="36"/>
    <x v="2"/>
    <x v="0"/>
    <n v="61.84"/>
    <n v="38"/>
  </r>
  <r>
    <x v="37"/>
    <x v="37"/>
    <x v="2"/>
    <x v="0"/>
    <n v="61.55"/>
    <n v="39"/>
  </r>
  <r>
    <x v="38"/>
    <x v="38"/>
    <x v="14"/>
    <x v="2"/>
    <n v="61.5"/>
    <n v="40"/>
  </r>
  <r>
    <x v="39"/>
    <x v="39"/>
    <x v="5"/>
    <x v="2"/>
    <n v="61.25"/>
    <n v="41"/>
  </r>
  <r>
    <x v="40"/>
    <x v="40"/>
    <x v="15"/>
    <x v="1"/>
    <n v="61.23"/>
    <n v="42"/>
  </r>
  <r>
    <x v="41"/>
    <x v="41"/>
    <x v="0"/>
    <x v="0"/>
    <n v="60.96"/>
    <n v="43"/>
  </r>
  <r>
    <x v="42"/>
    <x v="42"/>
    <x v="16"/>
    <x v="3"/>
    <n v="60.77"/>
    <n v="44"/>
  </r>
  <r>
    <x v="43"/>
    <x v="43"/>
    <x v="2"/>
    <x v="0"/>
    <n v="60.2"/>
    <n v="45"/>
  </r>
  <r>
    <x v="44"/>
    <x v="44"/>
    <x v="10"/>
    <x v="2"/>
    <n v="60.18"/>
    <n v="46"/>
  </r>
  <r>
    <x v="45"/>
    <x v="45"/>
    <x v="1"/>
    <x v="1"/>
    <n v="60.17"/>
    <n v="47"/>
  </r>
  <r>
    <x v="46"/>
    <x v="46"/>
    <x v="17"/>
    <x v="2"/>
    <n v="60.16"/>
    <n v="48"/>
  </r>
  <r>
    <x v="47"/>
    <x v="47"/>
    <x v="18"/>
    <x v="6"/>
    <n v="59.88"/>
    <n v="49"/>
  </r>
  <r>
    <x v="48"/>
    <x v="48"/>
    <x v="3"/>
    <x v="2"/>
    <n v="59.74"/>
    <n v="50"/>
  </r>
  <r>
    <x v="49"/>
    <x v="49"/>
    <x v="19"/>
    <x v="7"/>
    <n v="59.58"/>
    <n v="51"/>
  </r>
  <r>
    <x v="50"/>
    <x v="50"/>
    <x v="10"/>
    <x v="2"/>
    <n v="59.47"/>
    <n v="52"/>
  </r>
  <r>
    <x v="51"/>
    <x v="51"/>
    <x v="20"/>
    <x v="3"/>
    <n v="59.19"/>
    <n v="53"/>
  </r>
  <r>
    <x v="52"/>
    <x v="52"/>
    <x v="9"/>
    <x v="3"/>
    <n v="58.99"/>
    <n v="54"/>
  </r>
  <r>
    <x v="53"/>
    <x v="53"/>
    <x v="5"/>
    <x v="2"/>
    <n v="58.9"/>
    <n v="55"/>
  </r>
  <r>
    <x v="54"/>
    <x v="54"/>
    <x v="21"/>
    <x v="3"/>
    <n v="58.38"/>
    <n v="56"/>
  </r>
  <r>
    <x v="55"/>
    <x v="55"/>
    <x v="22"/>
    <x v="8"/>
    <n v="58.35"/>
    <n v="57"/>
  </r>
  <r>
    <x v="56"/>
    <x v="56"/>
    <x v="0"/>
    <x v="0"/>
    <n v="58.22"/>
    <n v="58"/>
  </r>
  <r>
    <x v="57"/>
    <x v="57"/>
    <x v="7"/>
    <x v="2"/>
    <n v="58.12"/>
    <n v="59"/>
  </r>
  <r>
    <x v="58"/>
    <x v="58"/>
    <x v="4"/>
    <x v="3"/>
    <n v="57.84"/>
    <n v="60"/>
  </r>
  <r>
    <x v="59"/>
    <x v="59"/>
    <x v="9"/>
    <x v="3"/>
    <n v="57.75"/>
    <n v="61"/>
  </r>
  <r>
    <x v="60"/>
    <x v="60"/>
    <x v="5"/>
    <x v="2"/>
    <n v="57.68"/>
    <n v="62"/>
  </r>
  <r>
    <x v="61"/>
    <x v="61"/>
    <x v="23"/>
    <x v="2"/>
    <n v="57.67"/>
    <n v="63"/>
  </r>
  <r>
    <x v="62"/>
    <x v="62"/>
    <x v="5"/>
    <x v="2"/>
    <n v="57.64"/>
    <n v="64"/>
  </r>
  <r>
    <x v="63"/>
    <x v="63"/>
    <x v="0"/>
    <x v="0"/>
    <n v="57.59"/>
    <n v="65"/>
  </r>
  <r>
    <x v="64"/>
    <x v="64"/>
    <x v="3"/>
    <x v="2"/>
    <n v="57.56"/>
    <n v="66"/>
  </r>
  <r>
    <x v="65"/>
    <x v="65"/>
    <x v="12"/>
    <x v="4"/>
    <n v="57.49"/>
    <n v="67"/>
  </r>
  <r>
    <x v="66"/>
    <x v="66"/>
    <x v="3"/>
    <x v="2"/>
    <n v="57.49"/>
    <n v="67"/>
  </r>
  <r>
    <x v="67"/>
    <x v="67"/>
    <x v="0"/>
    <x v="0"/>
    <n v="57.48"/>
    <n v="69"/>
  </r>
  <r>
    <x v="68"/>
    <x v="68"/>
    <x v="13"/>
    <x v="5"/>
    <n v="57.44"/>
    <n v="70"/>
  </r>
  <r>
    <x v="69"/>
    <x v="69"/>
    <x v="24"/>
    <x v="2"/>
    <n v="57.3"/>
    <n v="71"/>
  </r>
  <r>
    <x v="70"/>
    <x v="70"/>
    <x v="25"/>
    <x v="2"/>
    <n v="57.27"/>
    <n v="72"/>
  </r>
  <r>
    <x v="71"/>
    <x v="71"/>
    <x v="26"/>
    <x v="4"/>
    <n v="57.17"/>
    <n v="73"/>
  </r>
  <r>
    <x v="72"/>
    <x v="72"/>
    <x v="27"/>
    <x v="3"/>
    <n v="56.89"/>
    <n v="74"/>
  </r>
  <r>
    <x v="73"/>
    <x v="73"/>
    <x v="4"/>
    <x v="3"/>
    <n v="56.86"/>
    <n v="75"/>
  </r>
  <r>
    <x v="74"/>
    <x v="74"/>
    <x v="28"/>
    <x v="2"/>
    <n v="56.8"/>
    <n v="76"/>
  </r>
  <r>
    <x v="75"/>
    <x v="75"/>
    <x v="3"/>
    <x v="2"/>
    <n v="56.8"/>
    <n v="76"/>
  </r>
  <r>
    <x v="76"/>
    <x v="76"/>
    <x v="20"/>
    <x v="3"/>
    <n v="56.59"/>
    <n v="78"/>
  </r>
  <r>
    <x v="77"/>
    <x v="77"/>
    <x v="29"/>
    <x v="2"/>
    <n v="56.57"/>
    <n v="79"/>
  </r>
  <r>
    <x v="78"/>
    <x v="78"/>
    <x v="30"/>
    <x v="2"/>
    <n v="56.54"/>
    <n v="80"/>
  </r>
  <r>
    <x v="79"/>
    <x v="79"/>
    <x v="31"/>
    <x v="2"/>
    <n v="56.47"/>
    <n v="81"/>
  </r>
  <r>
    <x v="80"/>
    <x v="80"/>
    <x v="27"/>
    <x v="3"/>
    <n v="55.83"/>
    <n v="82"/>
  </r>
  <r>
    <x v="81"/>
    <x v="81"/>
    <x v="20"/>
    <x v="3"/>
    <n v="55.81"/>
    <n v="83"/>
  </r>
  <r>
    <x v="82"/>
    <x v="82"/>
    <x v="10"/>
    <x v="2"/>
    <n v="55.67"/>
    <n v="84"/>
  </r>
  <r>
    <x v="83"/>
    <x v="83"/>
    <x v="2"/>
    <x v="0"/>
    <n v="55.66"/>
    <n v="85"/>
  </r>
  <r>
    <x v="84"/>
    <x v="84"/>
    <x v="21"/>
    <x v="3"/>
    <n v="55.58"/>
    <n v="86"/>
  </r>
  <r>
    <x v="85"/>
    <x v="85"/>
    <x v="20"/>
    <x v="3"/>
    <n v="55.51"/>
    <n v="87"/>
  </r>
  <r>
    <x v="86"/>
    <x v="86"/>
    <x v="32"/>
    <x v="2"/>
    <n v="55.44"/>
    <n v="88"/>
  </r>
  <r>
    <x v="87"/>
    <x v="87"/>
    <x v="33"/>
    <x v="8"/>
    <n v="55.16"/>
    <n v="89"/>
  </r>
  <r>
    <x v="88"/>
    <x v="88"/>
    <x v="2"/>
    <x v="0"/>
    <n v="55.1"/>
    <n v="90"/>
  </r>
  <r>
    <x v="89"/>
    <x v="89"/>
    <x v="5"/>
    <x v="2"/>
    <n v="55.03"/>
    <n v="91"/>
  </r>
  <r>
    <x v="90"/>
    <x v="90"/>
    <x v="34"/>
    <x v="3"/>
    <n v="54.97"/>
    <n v="92"/>
  </r>
  <r>
    <x v="91"/>
    <x v="91"/>
    <x v="35"/>
    <x v="8"/>
    <n v="54.76"/>
    <n v="93"/>
  </r>
  <r>
    <x v="92"/>
    <x v="92"/>
    <x v="3"/>
    <x v="2"/>
    <n v="54.66"/>
    <n v="94"/>
  </r>
  <r>
    <x v="93"/>
    <x v="93"/>
    <x v="0"/>
    <x v="0"/>
    <n v="54.61"/>
    <n v="95"/>
  </r>
  <r>
    <x v="94"/>
    <x v="94"/>
    <x v="4"/>
    <x v="3"/>
    <n v="54.55"/>
    <n v="96"/>
  </r>
  <r>
    <x v="95"/>
    <x v="95"/>
    <x v="2"/>
    <x v="0"/>
    <n v="54.52"/>
    <n v="97"/>
  </r>
  <r>
    <x v="96"/>
    <x v="96"/>
    <x v="12"/>
    <x v="4"/>
    <n v="54.47"/>
    <n v="98"/>
  </r>
  <r>
    <x v="97"/>
    <x v="97"/>
    <x v="9"/>
    <x v="3"/>
    <n v="54.42"/>
    <n v="99"/>
  </r>
  <r>
    <x v="98"/>
    <x v="98"/>
    <x v="7"/>
    <x v="2"/>
    <n v="54.39"/>
    <n v="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C001"/>
    <x v="0"/>
    <s v="Ahmedabad"/>
    <s v="Gujarat"/>
    <x v="0"/>
  </r>
  <r>
    <s v="C002"/>
    <x v="1"/>
    <s v="Surat"/>
    <s v="Gujarat"/>
    <x v="1"/>
  </r>
  <r>
    <s v="C003"/>
    <x v="2"/>
    <s v="Indore"/>
    <s v="Madhya Pradesh"/>
    <x v="0"/>
  </r>
  <r>
    <s v="C004"/>
    <x v="3"/>
    <s v="Bhopal"/>
    <s v="Madhya Pradesh"/>
    <x v="1"/>
  </r>
  <r>
    <s v="C005"/>
    <x v="4"/>
    <s v="Vadodara"/>
    <s v="Gujarat"/>
    <x v="0"/>
  </r>
  <r>
    <s v="C006"/>
    <x v="5"/>
    <s v="Rajkot"/>
    <s v="Gujarat"/>
    <x v="1"/>
  </r>
  <r>
    <s v="C007"/>
    <x v="6"/>
    <s v="Jaipur"/>
    <s v="Rajasthan"/>
    <x v="0"/>
  </r>
  <r>
    <s v="C008"/>
    <x v="7"/>
    <s v="Udaipur"/>
    <s v="Rajasthan"/>
    <x v="1"/>
  </r>
  <r>
    <s v="C009"/>
    <x v="8"/>
    <s v="Pune"/>
    <s v="Maharashtra"/>
    <x v="0"/>
  </r>
  <r>
    <s v="C010"/>
    <x v="9"/>
    <s v="Mumbai"/>
    <s v="Maharashtra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Gujarat"/>
    <x v="0"/>
  </r>
  <r>
    <x v="1"/>
    <x v="1"/>
    <s v="Gujarat"/>
    <x v="1"/>
  </r>
  <r>
    <x v="2"/>
    <x v="2"/>
    <s v="Madhya Pradesh"/>
    <x v="0"/>
  </r>
  <r>
    <x v="3"/>
    <x v="3"/>
    <s v="Madhya Pradesh"/>
    <x v="1"/>
  </r>
  <r>
    <x v="4"/>
    <x v="4"/>
    <s v="Gujarat"/>
    <x v="0"/>
  </r>
  <r>
    <x v="5"/>
    <x v="5"/>
    <s v="Gujarat"/>
    <x v="1"/>
  </r>
  <r>
    <x v="6"/>
    <x v="6"/>
    <s v="Rajasthan"/>
    <x v="0"/>
  </r>
  <r>
    <x v="7"/>
    <x v="7"/>
    <s v="Rajasthan"/>
    <x v="1"/>
  </r>
  <r>
    <x v="8"/>
    <x v="8"/>
    <s v="Maharashtra"/>
    <x v="0"/>
  </r>
  <r>
    <x v="9"/>
    <x v="9"/>
    <s v="Maharashtr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6CB11-8EF2-4829-9F53-7BB065ACD866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4:E26" firstHeaderRow="1" firstDataRow="2" firstDataCol="1" rowPageCount="1" colPageCount="1"/>
  <pivotFields count="4">
    <pivotField axis="axisRow" showAll="0">
      <items count="11">
        <item x="0"/>
        <item x="7"/>
        <item x="4"/>
        <item x="1"/>
        <item x="5"/>
        <item x="3"/>
        <item x="2"/>
        <item x="6"/>
        <item x="9"/>
        <item x="8"/>
        <item t="default"/>
      </items>
    </pivotField>
    <pivotField axis="axisPage" dataField="1" showAll="0">
      <items count="11">
        <item x="0"/>
        <item x="3"/>
        <item x="2"/>
        <item x="6"/>
        <item x="9"/>
        <item x="8"/>
        <item x="5"/>
        <item x="1"/>
        <item x="7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1" hier="-1"/>
  </pageFields>
  <dataFields count="1">
    <dataField name="Count of City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01E57-6AD6-47E0-A115-947305728270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s">
  <location ref="H3:K15" firstHeaderRow="1" firstDataRow="2" firstDataCol="1"/>
  <pivotFields count="5">
    <pivotField showAll="0"/>
    <pivotField axis="axisRow" showAll="0">
      <items count="11">
        <item x="0"/>
        <item x="7"/>
        <item x="4"/>
        <item x="1"/>
        <item x="5"/>
        <item x="3"/>
        <item x="2"/>
        <item x="6"/>
        <item x="9"/>
        <item x="8"/>
        <item t="default"/>
      </items>
    </pivotField>
    <pivotField showAll="0"/>
    <pivotField dataField="1"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State" fld="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3B860-CE04-4A25-ACC3-8E109E06FBD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0:B57" firstHeaderRow="1" firstDataRow="1" firstDataCol="1" rowPageCount="1" colPageCount="1"/>
  <pivotFields count="6">
    <pivotField showAll="0">
      <items count="100">
        <item x="58"/>
        <item x="10"/>
        <item x="73"/>
        <item x="42"/>
        <item x="94"/>
        <item x="84"/>
        <item x="90"/>
        <item x="54"/>
        <item x="6"/>
        <item x="17"/>
        <item x="45"/>
        <item x="71"/>
        <item x="40"/>
        <item x="32"/>
        <item x="65"/>
        <item x="96"/>
        <item x="5"/>
        <item x="95"/>
        <item x="3"/>
        <item x="29"/>
        <item x="74"/>
        <item x="33"/>
        <item x="87"/>
        <item x="50"/>
        <item x="44"/>
        <item x="82"/>
        <item x="77"/>
        <item x="69"/>
        <item x="23"/>
        <item x="38"/>
        <item x="78"/>
        <item x="18"/>
        <item x="98"/>
        <item x="57"/>
        <item x="70"/>
        <item x="66"/>
        <item x="7"/>
        <item x="64"/>
        <item x="75"/>
        <item x="8"/>
        <item x="48"/>
        <item x="86"/>
        <item x="61"/>
        <item x="20"/>
        <item x="46"/>
        <item x="22"/>
        <item x="91"/>
        <item x="97"/>
        <item x="21"/>
        <item x="52"/>
        <item x="59"/>
        <item x="62"/>
        <item x="13"/>
        <item x="39"/>
        <item x="53"/>
        <item x="14"/>
        <item x="89"/>
        <item x="12"/>
        <item x="27"/>
        <item x="0"/>
        <item x="41"/>
        <item x="88"/>
        <item x="25"/>
        <item x="67"/>
        <item x="24"/>
        <item x="9"/>
        <item x="26"/>
        <item x="28"/>
        <item x="19"/>
        <item x="93"/>
        <item x="2"/>
        <item x="43"/>
        <item x="36"/>
        <item x="11"/>
        <item x="30"/>
        <item x="15"/>
        <item x="56"/>
        <item x="16"/>
        <item x="83"/>
        <item x="37"/>
        <item x="1"/>
        <item x="63"/>
        <item x="31"/>
        <item x="35"/>
        <item x="34"/>
        <item x="49"/>
        <item x="76"/>
        <item x="72"/>
        <item x="80"/>
        <item x="51"/>
        <item x="85"/>
        <item x="47"/>
        <item x="79"/>
        <item x="92"/>
        <item x="4"/>
        <item x="81"/>
        <item x="68"/>
        <item x="55"/>
        <item x="60"/>
        <item t="default"/>
      </items>
    </pivotField>
    <pivotField axis="axisPage" showAll="0">
      <items count="100">
        <item x="86"/>
        <item x="19"/>
        <item x="74"/>
        <item x="5"/>
        <item x="70"/>
        <item x="43"/>
        <item x="44"/>
        <item x="85"/>
        <item x="84"/>
        <item x="24"/>
        <item x="25"/>
        <item x="28"/>
        <item x="11"/>
        <item x="89"/>
        <item x="38"/>
        <item x="64"/>
        <item x="34"/>
        <item x="62"/>
        <item x="80"/>
        <item x="98"/>
        <item x="55"/>
        <item x="31"/>
        <item x="68"/>
        <item x="69"/>
        <item x="66"/>
        <item x="97"/>
        <item x="33"/>
        <item x="52"/>
        <item x="1"/>
        <item x="50"/>
        <item x="82"/>
        <item x="83"/>
        <item x="56"/>
        <item x="49"/>
        <item x="93"/>
        <item x="2"/>
        <item x="32"/>
        <item x="45"/>
        <item x="29"/>
        <item x="15"/>
        <item x="12"/>
        <item x="65"/>
        <item x="14"/>
        <item x="53"/>
        <item x="73"/>
        <item x="36"/>
        <item x="90"/>
        <item x="59"/>
        <item x="40"/>
        <item x="0"/>
        <item x="61"/>
        <item x="47"/>
        <item x="95"/>
        <item x="13"/>
        <item x="8"/>
        <item x="7"/>
        <item x="60"/>
        <item x="10"/>
        <item x="77"/>
        <item x="88"/>
        <item x="4"/>
        <item x="22"/>
        <item x="17"/>
        <item x="35"/>
        <item x="26"/>
        <item x="78"/>
        <item x="42"/>
        <item x="37"/>
        <item x="63"/>
        <item x="67"/>
        <item x="16"/>
        <item x="91"/>
        <item x="41"/>
        <item x="30"/>
        <item x="27"/>
        <item x="48"/>
        <item x="75"/>
        <item x="92"/>
        <item x="79"/>
        <item x="9"/>
        <item x="54"/>
        <item x="71"/>
        <item x="96"/>
        <item x="72"/>
        <item x="23"/>
        <item x="81"/>
        <item x="3"/>
        <item x="58"/>
        <item x="51"/>
        <item x="87"/>
        <item x="6"/>
        <item x="46"/>
        <item x="39"/>
        <item x="57"/>
        <item x="18"/>
        <item x="94"/>
        <item x="21"/>
        <item x="20"/>
        <item x="76"/>
        <item t="default"/>
      </items>
    </pivotField>
    <pivotField axis="axisRow" showAll="0">
      <items count="37">
        <item x="18"/>
        <item x="35"/>
        <item x="12"/>
        <item x="13"/>
        <item x="5"/>
        <item x="3"/>
        <item x="0"/>
        <item x="4"/>
        <item x="6"/>
        <item x="28"/>
        <item x="16"/>
        <item x="1"/>
        <item x="34"/>
        <item x="21"/>
        <item x="27"/>
        <item x="24"/>
        <item x="7"/>
        <item x="26"/>
        <item x="23"/>
        <item x="15"/>
        <item x="33"/>
        <item x="2"/>
        <item x="17"/>
        <item x="14"/>
        <item x="19"/>
        <item x="22"/>
        <item x="31"/>
        <item x="25"/>
        <item x="11"/>
        <item x="29"/>
        <item x="9"/>
        <item x="32"/>
        <item x="8"/>
        <item x="20"/>
        <item x="10"/>
        <item x="30"/>
        <item t="default"/>
      </items>
    </pivotField>
    <pivotField showAll="0"/>
    <pivotField showAll="0"/>
    <pivotField dataField="1" showAll="0"/>
  </pivotFields>
  <rowFields count="1">
    <field x="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pageFields count="1">
    <pageField fld="1" hier="-1"/>
  </pageFields>
  <dataFields count="1">
    <dataField name="Count of 1" fld="5" subtotal="count" baseField="2" baseItem="0"/>
  </dataFields>
  <chartFormats count="3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A5A97-8C80-4351-8F63-9EFB61E6C0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ity">
  <location ref="A3:B13" firstHeaderRow="1" firstDataRow="1" firstDataCol="1" rowPageCount="1" colPageCount="1"/>
  <pivotFields count="6">
    <pivotField showAll="0"/>
    <pivotField axis="axisPage" showAll="0">
      <items count="100">
        <item x="86"/>
        <item x="19"/>
        <item x="74"/>
        <item x="5"/>
        <item x="70"/>
        <item x="43"/>
        <item x="44"/>
        <item x="85"/>
        <item x="84"/>
        <item x="24"/>
        <item x="25"/>
        <item x="28"/>
        <item x="11"/>
        <item x="89"/>
        <item x="38"/>
        <item x="64"/>
        <item x="34"/>
        <item x="62"/>
        <item x="80"/>
        <item x="98"/>
        <item x="55"/>
        <item x="31"/>
        <item x="68"/>
        <item x="69"/>
        <item x="66"/>
        <item x="97"/>
        <item x="33"/>
        <item x="52"/>
        <item x="1"/>
        <item x="50"/>
        <item x="82"/>
        <item x="83"/>
        <item x="56"/>
        <item x="49"/>
        <item x="93"/>
        <item x="2"/>
        <item x="32"/>
        <item x="45"/>
        <item x="29"/>
        <item x="15"/>
        <item x="12"/>
        <item x="65"/>
        <item x="14"/>
        <item x="53"/>
        <item x="73"/>
        <item x="36"/>
        <item x="90"/>
        <item x="59"/>
        <item x="40"/>
        <item x="0"/>
        <item x="61"/>
        <item x="47"/>
        <item x="95"/>
        <item x="13"/>
        <item x="8"/>
        <item x="7"/>
        <item x="60"/>
        <item x="10"/>
        <item x="77"/>
        <item x="88"/>
        <item x="4"/>
        <item x="22"/>
        <item x="17"/>
        <item x="35"/>
        <item x="26"/>
        <item x="78"/>
        <item x="42"/>
        <item x="37"/>
        <item x="63"/>
        <item x="67"/>
        <item x="16"/>
        <item x="91"/>
        <item x="41"/>
        <item x="30"/>
        <item x="27"/>
        <item x="48"/>
        <item x="75"/>
        <item x="92"/>
        <item x="79"/>
        <item x="9"/>
        <item x="54"/>
        <item x="71"/>
        <item x="96"/>
        <item x="72"/>
        <item x="23"/>
        <item x="81"/>
        <item x="3"/>
        <item x="58"/>
        <item x="51"/>
        <item x="87"/>
        <item x="6"/>
        <item x="46"/>
        <item x="39"/>
        <item x="57"/>
        <item x="18"/>
        <item x="94"/>
        <item x="21"/>
        <item x="20"/>
        <item x="76"/>
        <item t="default"/>
      </items>
    </pivotField>
    <pivotField showAll="0"/>
    <pivotField axis="axisRow" showAll="0">
      <items count="10">
        <item x="5"/>
        <item x="0"/>
        <item x="4"/>
        <item x="3"/>
        <item x="8"/>
        <item x="6"/>
        <item x="7"/>
        <item x="2"/>
        <item x="1"/>
        <item t="default"/>
      </items>
    </pivotField>
    <pivotField dataField="1"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-1"/>
  </pageFields>
  <dataFields count="1">
    <dataField name="Count of 84.01" fld="4" subtotal="count" baseField="3" baseItem="0"/>
  </dataFields>
  <chartFormats count="11"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83B5C26-8E45-4611-8754-D9BA74A89CB4}" autoFormatId="16" applyNumberFormats="0" applyBorderFormats="0" applyFontFormats="0" applyPatternFormats="0" applyAlignmentFormats="0" applyWidthHeightFormats="0">
  <queryTableRefresh nextId="14">
    <queryTableFields count="13">
      <queryTableField id="1" name="S.No." tableColumnId="1"/>
      <queryTableField id="2" name="Name" tableColumnId="2"/>
      <queryTableField id="3" name="CMP_x000a_                    Rs." tableColumnId="3"/>
      <queryTableField id="4" name="P/E" tableColumnId="4"/>
      <queryTableField id="5" name="Mar Cap_x000a_                    Rs.Cr." tableColumnId="5"/>
      <queryTableField id="6" name="Div Yld_x000a_                    %" tableColumnId="6"/>
      <queryTableField id="7" name="NP Qtr_x000a_                    Rs.Cr." tableColumnId="7"/>
      <queryTableField id="8" name="Qtr Profit Var_x000a_                    %" tableColumnId="8"/>
      <queryTableField id="9" name="Sales Qtr_x000a_                    Rs.Cr." tableColumnId="9"/>
      <queryTableField id="10" name="Qtr Sales Var_x000a_                    %" tableColumnId="10"/>
      <queryTableField id="11" name="ROCE_x000a_                    %" tableColumnId="11"/>
      <queryTableField id="12" name="Debt / Eq" tableColumnId="12"/>
      <queryTableField id="13" name="NP 12M_x000a_                    Rs.Cr.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D1357A-9F5B-4AA1-A05E-9A05E03D8389}" name="Table_1" displayName="Table_1" ref="A1:M27" tableType="queryTable" totalsRowShown="0">
  <autoFilter ref="A1:M27" xr:uid="{4AD1357A-9F5B-4AA1-A05E-9A05E03D8389}"/>
  <tableColumns count="13">
    <tableColumn id="1" xr3:uid="{1F2CA312-A295-4DA3-B60F-3092D68F8780}" uniqueName="1" name="S.No." queryTableFieldId="1" dataDxfId="12"/>
    <tableColumn id="2" xr3:uid="{FEF43900-EA92-445E-8200-53A2DB3AA02F}" uniqueName="2" name="Name" queryTableFieldId="2" dataDxfId="11"/>
    <tableColumn id="3" xr3:uid="{CE4A261C-F4B2-4C1E-887B-076E2F485C3B}" uniqueName="3" name="CMP_x000a_                    Rs." queryTableFieldId="3" dataDxfId="10"/>
    <tableColumn id="4" xr3:uid="{7427B827-22BC-440A-9DBB-15586BE067B6}" uniqueName="4" name="P/E" queryTableFieldId="4" dataDxfId="9"/>
    <tableColumn id="5" xr3:uid="{A40BE8E0-1FE6-442C-A17D-424AD9365059}" uniqueName="5" name="Mar Cap_x000a_                    Rs.Cr." queryTableFieldId="5" dataDxfId="8"/>
    <tableColumn id="6" xr3:uid="{FD620269-1033-49C6-834A-0AC02749DB5A}" uniqueName="6" name="Div Yld_x000a_                    %" queryTableFieldId="6" dataDxfId="7"/>
    <tableColumn id="7" xr3:uid="{38E378A9-26DE-4048-ABCA-453995C9C670}" uniqueName="7" name="NP Qtr_x000a_                    Rs.Cr." queryTableFieldId="7" dataDxfId="6"/>
    <tableColumn id="8" xr3:uid="{6F6BBAA2-548B-465D-ACE8-B8C08CD46198}" uniqueName="8" name="Qtr Profit Var_x000a_                    %" queryTableFieldId="8" dataDxfId="5"/>
    <tableColumn id="9" xr3:uid="{E51DCAE7-6832-4EE1-A502-DE028240DF10}" uniqueName="9" name="Sales Qtr_x000a_                    Rs.Cr." queryTableFieldId="9" dataDxfId="4"/>
    <tableColumn id="10" xr3:uid="{B3764FB5-B96B-42C5-BC4D-772587EE5042}" uniqueName="10" name="Qtr Sales Var_x000a_                    %" queryTableFieldId="10" dataDxfId="3"/>
    <tableColumn id="11" xr3:uid="{5DD03742-BF55-4334-A4F4-2FFFB3E9A1B5}" uniqueName="11" name="ROCE_x000a_                    %" queryTableFieldId="11" dataDxfId="2"/>
    <tableColumn id="12" xr3:uid="{63757B66-4CA2-4894-9DC2-07AF317527A5}" uniqueName="12" name="Debt / Eq" queryTableFieldId="12" dataDxfId="1"/>
    <tableColumn id="13" xr3:uid="{C8817341-AF59-4A92-BE55-8A2A5CBF7DAF}" uniqueName="13" name="NP 12M_x000a_                    Rs.Cr.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1F17-827E-4672-84B6-69C1EAC24A45}">
  <dimension ref="A1:K26"/>
  <sheetViews>
    <sheetView workbookViewId="0">
      <selection activeCell="N14" sqref="N14"/>
    </sheetView>
  </sheetViews>
  <sheetFormatPr defaultRowHeight="14.25" x14ac:dyDescent="0.45"/>
  <cols>
    <col min="1" max="1" width="12.53125" bestFit="1" customWidth="1"/>
    <col min="2" max="2" width="12.06640625" bestFit="1" customWidth="1"/>
    <col min="3" max="3" width="14.73046875" bestFit="1" customWidth="1"/>
    <col min="4" max="4" width="11.796875" customWidth="1"/>
    <col min="5" max="5" width="10.19921875" bestFit="1" customWidth="1"/>
    <col min="8" max="8" width="12.3984375" bestFit="1" customWidth="1"/>
    <col min="9" max="9" width="14.73046875" bestFit="1" customWidth="1"/>
    <col min="10" max="10" width="4.796875" bestFit="1" customWidth="1"/>
    <col min="11" max="11" width="10.19921875" bestFit="1" customWidth="1"/>
  </cols>
  <sheetData>
    <row r="1" spans="1:11" x14ac:dyDescent="0.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11" x14ac:dyDescent="0.45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11" x14ac:dyDescent="0.45">
      <c r="A3" s="7" t="s">
        <v>10</v>
      </c>
      <c r="B3" s="8" t="s">
        <v>11</v>
      </c>
      <c r="C3" s="8" t="s">
        <v>12</v>
      </c>
      <c r="D3" s="8" t="s">
        <v>8</v>
      </c>
      <c r="E3" s="9" t="s">
        <v>13</v>
      </c>
      <c r="H3" s="16" t="s">
        <v>607</v>
      </c>
      <c r="I3" s="16" t="s">
        <v>606</v>
      </c>
    </row>
    <row r="4" spans="1:11" x14ac:dyDescent="0.45">
      <c r="A4" s="4" t="s">
        <v>14</v>
      </c>
      <c r="B4" s="5" t="s">
        <v>15</v>
      </c>
      <c r="C4" s="5" t="s">
        <v>16</v>
      </c>
      <c r="D4" s="5" t="s">
        <v>17</v>
      </c>
      <c r="E4" s="6" t="s">
        <v>9</v>
      </c>
      <c r="H4" s="16" t="s">
        <v>608</v>
      </c>
      <c r="I4" t="s">
        <v>13</v>
      </c>
      <c r="J4" t="s">
        <v>9</v>
      </c>
      <c r="K4" t="s">
        <v>602</v>
      </c>
    </row>
    <row r="5" spans="1:11" x14ac:dyDescent="0.45">
      <c r="A5" s="7" t="s">
        <v>18</v>
      </c>
      <c r="B5" s="8" t="s">
        <v>19</v>
      </c>
      <c r="C5" s="8" t="s">
        <v>20</v>
      </c>
      <c r="D5" s="8" t="s">
        <v>17</v>
      </c>
      <c r="E5" s="9" t="s">
        <v>13</v>
      </c>
      <c r="H5" s="17" t="s">
        <v>6</v>
      </c>
      <c r="I5" s="18"/>
      <c r="J5" s="18">
        <v>1</v>
      </c>
      <c r="K5" s="18">
        <v>1</v>
      </c>
    </row>
    <row r="6" spans="1:11" x14ac:dyDescent="0.45">
      <c r="A6" s="4" t="s">
        <v>21</v>
      </c>
      <c r="B6" s="5" t="s">
        <v>22</v>
      </c>
      <c r="C6" s="5" t="s">
        <v>23</v>
      </c>
      <c r="D6" s="5" t="s">
        <v>8</v>
      </c>
      <c r="E6" s="6" t="s">
        <v>9</v>
      </c>
      <c r="H6" s="17" t="s">
        <v>32</v>
      </c>
      <c r="I6" s="18">
        <v>1</v>
      </c>
      <c r="J6" s="18"/>
      <c r="K6" s="18">
        <v>1</v>
      </c>
    </row>
    <row r="7" spans="1:11" x14ac:dyDescent="0.45">
      <c r="A7" s="7" t="s">
        <v>24</v>
      </c>
      <c r="B7" s="8" t="s">
        <v>25</v>
      </c>
      <c r="C7" s="8" t="s">
        <v>26</v>
      </c>
      <c r="D7" s="8" t="s">
        <v>8</v>
      </c>
      <c r="E7" s="9" t="s">
        <v>13</v>
      </c>
      <c r="H7" s="17" t="s">
        <v>22</v>
      </c>
      <c r="I7" s="18"/>
      <c r="J7" s="18">
        <v>1</v>
      </c>
      <c r="K7" s="18">
        <v>1</v>
      </c>
    </row>
    <row r="8" spans="1:11" x14ac:dyDescent="0.45">
      <c r="A8" s="4" t="s">
        <v>27</v>
      </c>
      <c r="B8" s="5" t="s">
        <v>28</v>
      </c>
      <c r="C8" s="5" t="s">
        <v>29</v>
      </c>
      <c r="D8" s="5" t="s">
        <v>30</v>
      </c>
      <c r="E8" s="6" t="s">
        <v>9</v>
      </c>
      <c r="H8" s="17" t="s">
        <v>11</v>
      </c>
      <c r="I8" s="18">
        <v>1</v>
      </c>
      <c r="J8" s="18"/>
      <c r="K8" s="18">
        <v>1</v>
      </c>
    </row>
    <row r="9" spans="1:11" x14ac:dyDescent="0.45">
      <c r="A9" s="7" t="s">
        <v>31</v>
      </c>
      <c r="B9" s="8" t="s">
        <v>32</v>
      </c>
      <c r="C9" s="8" t="s">
        <v>33</v>
      </c>
      <c r="D9" s="8" t="s">
        <v>30</v>
      </c>
      <c r="E9" s="9" t="s">
        <v>13</v>
      </c>
      <c r="H9" s="17" t="s">
        <v>25</v>
      </c>
      <c r="I9" s="18">
        <v>1</v>
      </c>
      <c r="J9" s="18"/>
      <c r="K9" s="18">
        <v>1</v>
      </c>
    </row>
    <row r="10" spans="1:11" x14ac:dyDescent="0.45">
      <c r="A10" s="4" t="s">
        <v>34</v>
      </c>
      <c r="B10" s="5" t="s">
        <v>35</v>
      </c>
      <c r="C10" s="5" t="s">
        <v>36</v>
      </c>
      <c r="D10" s="5" t="s">
        <v>37</v>
      </c>
      <c r="E10" s="6" t="s">
        <v>9</v>
      </c>
      <c r="H10" s="17" t="s">
        <v>19</v>
      </c>
      <c r="I10" s="18">
        <v>1</v>
      </c>
      <c r="J10" s="18"/>
      <c r="K10" s="18">
        <v>1</v>
      </c>
    </row>
    <row r="11" spans="1:11" x14ac:dyDescent="0.45">
      <c r="A11" s="10" t="s">
        <v>38</v>
      </c>
      <c r="B11" s="11" t="s">
        <v>39</v>
      </c>
      <c r="C11" s="11" t="s">
        <v>40</v>
      </c>
      <c r="D11" s="11" t="s">
        <v>37</v>
      </c>
      <c r="E11" s="12" t="s">
        <v>13</v>
      </c>
      <c r="H11" s="17" t="s">
        <v>15</v>
      </c>
      <c r="I11" s="18"/>
      <c r="J11" s="18">
        <v>1</v>
      </c>
      <c r="K11" s="18">
        <v>1</v>
      </c>
    </row>
    <row r="12" spans="1:11" x14ac:dyDescent="0.45">
      <c r="B12" s="16" t="s">
        <v>2</v>
      </c>
      <c r="C12" t="s">
        <v>604</v>
      </c>
      <c r="H12" s="17" t="s">
        <v>28</v>
      </c>
      <c r="I12" s="18"/>
      <c r="J12" s="18">
        <v>1</v>
      </c>
      <c r="K12" s="18">
        <v>1</v>
      </c>
    </row>
    <row r="13" spans="1:11" x14ac:dyDescent="0.45">
      <c r="H13" s="17" t="s">
        <v>39</v>
      </c>
      <c r="I13" s="18">
        <v>1</v>
      </c>
      <c r="J13" s="18"/>
      <c r="K13" s="18">
        <v>1</v>
      </c>
    </row>
    <row r="14" spans="1:11" x14ac:dyDescent="0.45">
      <c r="B14" s="16" t="s">
        <v>609</v>
      </c>
      <c r="C14" s="16" t="s">
        <v>606</v>
      </c>
      <c r="H14" s="17" t="s">
        <v>35</v>
      </c>
      <c r="I14" s="18"/>
      <c r="J14" s="18">
        <v>1</v>
      </c>
      <c r="K14" s="18">
        <v>1</v>
      </c>
    </row>
    <row r="15" spans="1:11" x14ac:dyDescent="0.45">
      <c r="B15" s="16" t="s">
        <v>601</v>
      </c>
      <c r="C15" t="s">
        <v>13</v>
      </c>
      <c r="D15" t="s">
        <v>9</v>
      </c>
      <c r="E15" t="s">
        <v>602</v>
      </c>
      <c r="H15" s="17" t="s">
        <v>602</v>
      </c>
      <c r="I15" s="18">
        <v>5</v>
      </c>
      <c r="J15" s="18">
        <v>5</v>
      </c>
      <c r="K15" s="18">
        <v>10</v>
      </c>
    </row>
    <row r="16" spans="1:11" x14ac:dyDescent="0.45">
      <c r="B16" s="17" t="s">
        <v>6</v>
      </c>
      <c r="C16" s="18"/>
      <c r="D16" s="18">
        <v>1</v>
      </c>
      <c r="E16" s="18">
        <v>1</v>
      </c>
    </row>
    <row r="17" spans="2:5" x14ac:dyDescent="0.45">
      <c r="B17" s="17" t="s">
        <v>32</v>
      </c>
      <c r="C17" s="18">
        <v>1</v>
      </c>
      <c r="D17" s="18"/>
      <c r="E17" s="18">
        <v>1</v>
      </c>
    </row>
    <row r="18" spans="2:5" x14ac:dyDescent="0.45">
      <c r="B18" s="17" t="s">
        <v>22</v>
      </c>
      <c r="C18" s="18"/>
      <c r="D18" s="18">
        <v>1</v>
      </c>
      <c r="E18" s="18">
        <v>1</v>
      </c>
    </row>
    <row r="19" spans="2:5" x14ac:dyDescent="0.45">
      <c r="B19" s="17" t="s">
        <v>11</v>
      </c>
      <c r="C19" s="18">
        <v>1</v>
      </c>
      <c r="D19" s="18"/>
      <c r="E19" s="18">
        <v>1</v>
      </c>
    </row>
    <row r="20" spans="2:5" x14ac:dyDescent="0.45">
      <c r="B20" s="17" t="s">
        <v>25</v>
      </c>
      <c r="C20" s="18">
        <v>1</v>
      </c>
      <c r="D20" s="18"/>
      <c r="E20" s="18">
        <v>1</v>
      </c>
    </row>
    <row r="21" spans="2:5" x14ac:dyDescent="0.45">
      <c r="B21" s="17" t="s">
        <v>19</v>
      </c>
      <c r="C21" s="18">
        <v>1</v>
      </c>
      <c r="D21" s="18"/>
      <c r="E21" s="18">
        <v>1</v>
      </c>
    </row>
    <row r="22" spans="2:5" x14ac:dyDescent="0.45">
      <c r="B22" s="17" t="s">
        <v>15</v>
      </c>
      <c r="C22" s="18"/>
      <c r="D22" s="18">
        <v>1</v>
      </c>
      <c r="E22" s="18">
        <v>1</v>
      </c>
    </row>
    <row r="23" spans="2:5" x14ac:dyDescent="0.45">
      <c r="B23" s="17" t="s">
        <v>28</v>
      </c>
      <c r="C23" s="18"/>
      <c r="D23" s="18">
        <v>1</v>
      </c>
      <c r="E23" s="18">
        <v>1</v>
      </c>
    </row>
    <row r="24" spans="2:5" x14ac:dyDescent="0.45">
      <c r="B24" s="17" t="s">
        <v>39</v>
      </c>
      <c r="C24" s="18">
        <v>1</v>
      </c>
      <c r="D24" s="18"/>
      <c r="E24" s="18">
        <v>1</v>
      </c>
    </row>
    <row r="25" spans="2:5" x14ac:dyDescent="0.45">
      <c r="B25" s="17" t="s">
        <v>35</v>
      </c>
      <c r="C25" s="18"/>
      <c r="D25" s="18">
        <v>1</v>
      </c>
      <c r="E25" s="18">
        <v>1</v>
      </c>
    </row>
    <row r="26" spans="2:5" x14ac:dyDescent="0.45">
      <c r="B26" s="17" t="s">
        <v>602</v>
      </c>
      <c r="C26" s="18">
        <v>5</v>
      </c>
      <c r="D26" s="18">
        <v>5</v>
      </c>
      <c r="E26" s="18">
        <v>10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52AF-9CB7-4538-9C88-8E28130AC1D0}">
  <dimension ref="A1:M27"/>
  <sheetViews>
    <sheetView workbookViewId="0"/>
  </sheetViews>
  <sheetFormatPr defaultRowHeight="14.25" x14ac:dyDescent="0.45"/>
  <cols>
    <col min="1" max="1" width="7.265625" bestFit="1" customWidth="1"/>
    <col min="2" max="2" width="25.86328125" bestFit="1" customWidth="1"/>
    <col min="3" max="3" width="19.46484375" bestFit="1" customWidth="1"/>
    <col min="4" max="4" width="5.6640625" bestFit="1" customWidth="1"/>
    <col min="5" max="5" width="24.796875" bestFit="1" customWidth="1"/>
    <col min="6" max="6" width="20.3984375" bestFit="1" customWidth="1"/>
    <col min="7" max="7" width="23.46484375" bestFit="1" customWidth="1"/>
    <col min="8" max="8" width="25.6640625" bestFit="1" customWidth="1"/>
    <col min="9" max="10" width="25.33203125" bestFit="1" customWidth="1"/>
    <col min="11" max="11" width="19.1328125" bestFit="1" customWidth="1"/>
    <col min="12" max="12" width="10.59765625" bestFit="1" customWidth="1"/>
    <col min="13" max="13" width="24.46484375" bestFit="1" customWidth="1"/>
  </cols>
  <sheetData>
    <row r="1" spans="1:13" x14ac:dyDescent="0.4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</row>
    <row r="2" spans="1:13" x14ac:dyDescent="0.4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</row>
    <row r="3" spans="1:13" x14ac:dyDescent="0.4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  <c r="M3" t="s">
        <v>79</v>
      </c>
    </row>
    <row r="4" spans="1:13" x14ac:dyDescent="0.45">
      <c r="A4" t="s">
        <v>80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90</v>
      </c>
      <c r="L4" t="s">
        <v>65</v>
      </c>
      <c r="M4" t="s">
        <v>91</v>
      </c>
    </row>
    <row r="5" spans="1:13" x14ac:dyDescent="0.45">
      <c r="A5" t="s">
        <v>92</v>
      </c>
      <c r="B5" t="s">
        <v>93</v>
      </c>
      <c r="C5" t="s">
        <v>94</v>
      </c>
      <c r="D5" t="s">
        <v>95</v>
      </c>
      <c r="E5" t="s">
        <v>96</v>
      </c>
      <c r="F5" t="s">
        <v>97</v>
      </c>
      <c r="G5" t="s">
        <v>98</v>
      </c>
      <c r="H5" t="s">
        <v>99</v>
      </c>
      <c r="I5" t="s">
        <v>100</v>
      </c>
      <c r="J5" t="s">
        <v>101</v>
      </c>
      <c r="K5" t="s">
        <v>102</v>
      </c>
      <c r="L5" t="s">
        <v>103</v>
      </c>
      <c r="M5" t="s">
        <v>104</v>
      </c>
    </row>
    <row r="6" spans="1:13" x14ac:dyDescent="0.45">
      <c r="A6" t="s">
        <v>105</v>
      </c>
      <c r="B6" t="s">
        <v>106</v>
      </c>
      <c r="C6" t="s">
        <v>107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65</v>
      </c>
      <c r="M6" t="s">
        <v>116</v>
      </c>
    </row>
    <row r="7" spans="1:13" x14ac:dyDescent="0.45">
      <c r="A7" t="s">
        <v>117</v>
      </c>
      <c r="B7" t="s">
        <v>118</v>
      </c>
      <c r="C7" t="s">
        <v>119</v>
      </c>
      <c r="D7" t="s">
        <v>120</v>
      </c>
      <c r="E7" t="s">
        <v>121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</row>
    <row r="8" spans="1:13" x14ac:dyDescent="0.45">
      <c r="A8" t="s">
        <v>130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  <c r="G8" t="s">
        <v>136</v>
      </c>
      <c r="H8" t="s">
        <v>137</v>
      </c>
      <c r="I8" t="s">
        <v>138</v>
      </c>
      <c r="J8" t="s">
        <v>139</v>
      </c>
      <c r="K8" t="s">
        <v>140</v>
      </c>
      <c r="L8" t="s">
        <v>141</v>
      </c>
      <c r="M8" t="s">
        <v>142</v>
      </c>
    </row>
    <row r="9" spans="1:13" x14ac:dyDescent="0.45">
      <c r="A9" t="s">
        <v>143</v>
      </c>
      <c r="B9" t="s">
        <v>144</v>
      </c>
      <c r="C9" t="s">
        <v>145</v>
      </c>
      <c r="D9" t="s">
        <v>146</v>
      </c>
      <c r="E9" t="s">
        <v>147</v>
      </c>
      <c r="F9" t="s">
        <v>148</v>
      </c>
      <c r="G9" t="s">
        <v>149</v>
      </c>
      <c r="H9" t="s">
        <v>150</v>
      </c>
      <c r="I9" t="s">
        <v>151</v>
      </c>
      <c r="J9" t="s">
        <v>152</v>
      </c>
      <c r="K9" t="s">
        <v>153</v>
      </c>
      <c r="L9" t="s">
        <v>154</v>
      </c>
      <c r="M9" t="s">
        <v>155</v>
      </c>
    </row>
    <row r="10" spans="1:13" x14ac:dyDescent="0.4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161</v>
      </c>
      <c r="G10" t="s">
        <v>162</v>
      </c>
      <c r="H10" t="s">
        <v>163</v>
      </c>
      <c r="I10" t="s">
        <v>164</v>
      </c>
      <c r="J10" t="s">
        <v>165</v>
      </c>
      <c r="K10" t="s">
        <v>166</v>
      </c>
      <c r="L10" t="s">
        <v>78</v>
      </c>
      <c r="M10" t="s">
        <v>167</v>
      </c>
    </row>
    <row r="11" spans="1:13" x14ac:dyDescent="0.45">
      <c r="A11" t="s">
        <v>168</v>
      </c>
      <c r="B11" t="s">
        <v>169</v>
      </c>
      <c r="C11" t="s">
        <v>170</v>
      </c>
      <c r="D11" t="s">
        <v>171</v>
      </c>
      <c r="E11" t="s">
        <v>172</v>
      </c>
      <c r="F11" t="s">
        <v>173</v>
      </c>
      <c r="G11" t="s">
        <v>174</v>
      </c>
      <c r="H11" t="s">
        <v>175</v>
      </c>
      <c r="I11" t="s">
        <v>176</v>
      </c>
      <c r="J11" t="s">
        <v>177</v>
      </c>
      <c r="K11" t="s">
        <v>178</v>
      </c>
      <c r="L11" t="s">
        <v>103</v>
      </c>
      <c r="M11" t="s">
        <v>179</v>
      </c>
    </row>
    <row r="12" spans="1:13" x14ac:dyDescent="0.45">
      <c r="A12" t="s">
        <v>180</v>
      </c>
      <c r="B12" t="s">
        <v>181</v>
      </c>
      <c r="C12" t="s">
        <v>182</v>
      </c>
      <c r="D12" t="s">
        <v>183</v>
      </c>
      <c r="E12" t="s">
        <v>184</v>
      </c>
      <c r="F12" t="s">
        <v>185</v>
      </c>
      <c r="G12" t="s">
        <v>186</v>
      </c>
      <c r="H12" t="s">
        <v>187</v>
      </c>
      <c r="I12" t="s">
        <v>188</v>
      </c>
      <c r="J12" t="s">
        <v>189</v>
      </c>
      <c r="K12" t="s">
        <v>190</v>
      </c>
      <c r="L12" t="s">
        <v>191</v>
      </c>
      <c r="M12" t="s">
        <v>192</v>
      </c>
    </row>
    <row r="13" spans="1:13" x14ac:dyDescent="0.45">
      <c r="A13" t="s">
        <v>193</v>
      </c>
      <c r="B13" t="s">
        <v>194</v>
      </c>
      <c r="C13" t="s">
        <v>195</v>
      </c>
      <c r="D13" t="s">
        <v>196</v>
      </c>
      <c r="E13" t="s">
        <v>197</v>
      </c>
      <c r="F13" t="s">
        <v>198</v>
      </c>
      <c r="G13" t="s">
        <v>199</v>
      </c>
      <c r="H13" t="s">
        <v>200</v>
      </c>
      <c r="I13" t="s">
        <v>201</v>
      </c>
      <c r="J13" t="s">
        <v>202</v>
      </c>
      <c r="K13" t="s">
        <v>203</v>
      </c>
      <c r="L13" t="s">
        <v>65</v>
      </c>
      <c r="M13" t="s">
        <v>204</v>
      </c>
    </row>
    <row r="14" spans="1:13" x14ac:dyDescent="0.45">
      <c r="A14" t="s">
        <v>205</v>
      </c>
      <c r="B14" t="s">
        <v>206</v>
      </c>
      <c r="C14" t="s">
        <v>207</v>
      </c>
      <c r="D14" t="s">
        <v>208</v>
      </c>
      <c r="E14" t="s">
        <v>209</v>
      </c>
      <c r="F14" t="s">
        <v>210</v>
      </c>
      <c r="G14" t="s">
        <v>211</v>
      </c>
      <c r="H14" t="s">
        <v>212</v>
      </c>
      <c r="I14" t="s">
        <v>213</v>
      </c>
      <c r="J14" t="s">
        <v>214</v>
      </c>
      <c r="K14" t="s">
        <v>215</v>
      </c>
      <c r="L14" t="s">
        <v>216</v>
      </c>
      <c r="M14" t="s">
        <v>217</v>
      </c>
    </row>
    <row r="15" spans="1:13" x14ac:dyDescent="0.45">
      <c r="A15" t="s">
        <v>218</v>
      </c>
      <c r="B15" t="s">
        <v>219</v>
      </c>
      <c r="C15" t="s">
        <v>220</v>
      </c>
      <c r="D15" t="s">
        <v>221</v>
      </c>
      <c r="E15" t="s">
        <v>222</v>
      </c>
      <c r="F15" t="s">
        <v>141</v>
      </c>
      <c r="G15" t="s">
        <v>223</v>
      </c>
      <c r="H15" t="s">
        <v>224</v>
      </c>
      <c r="I15" t="s">
        <v>225</v>
      </c>
      <c r="J15" t="s">
        <v>226</v>
      </c>
      <c r="K15" t="s">
        <v>227</v>
      </c>
      <c r="L15" t="s">
        <v>228</v>
      </c>
      <c r="M15" t="s">
        <v>229</v>
      </c>
    </row>
    <row r="16" spans="1:13" x14ac:dyDescent="0.45">
      <c r="A16" t="s">
        <v>230</v>
      </c>
      <c r="B16" t="s">
        <v>231</v>
      </c>
      <c r="C16" t="s">
        <v>232</v>
      </c>
      <c r="D16" t="s">
        <v>233</v>
      </c>
      <c r="E16" t="s">
        <v>234</v>
      </c>
      <c r="F16" t="s">
        <v>235</v>
      </c>
      <c r="G16" t="s">
        <v>236</v>
      </c>
      <c r="H16" t="s">
        <v>237</v>
      </c>
      <c r="I16" t="s">
        <v>238</v>
      </c>
      <c r="J16" t="s">
        <v>239</v>
      </c>
      <c r="K16" t="s">
        <v>240</v>
      </c>
      <c r="L16" t="s">
        <v>191</v>
      </c>
      <c r="M16" t="s">
        <v>241</v>
      </c>
    </row>
    <row r="17" spans="1:13" x14ac:dyDescent="0.45">
      <c r="A17" t="s">
        <v>41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K17" t="s">
        <v>51</v>
      </c>
      <c r="L17" t="s">
        <v>52</v>
      </c>
      <c r="M17" t="s">
        <v>53</v>
      </c>
    </row>
    <row r="18" spans="1:13" x14ac:dyDescent="0.45">
      <c r="A18" t="s">
        <v>242</v>
      </c>
      <c r="B18" t="s">
        <v>243</v>
      </c>
      <c r="C18" t="s">
        <v>244</v>
      </c>
      <c r="D18" t="s">
        <v>245</v>
      </c>
      <c r="E18" t="s">
        <v>246</v>
      </c>
      <c r="F18" t="s">
        <v>247</v>
      </c>
      <c r="G18" t="s">
        <v>248</v>
      </c>
      <c r="H18" t="s">
        <v>249</v>
      </c>
      <c r="I18" t="s">
        <v>250</v>
      </c>
      <c r="J18" t="s">
        <v>251</v>
      </c>
      <c r="K18" t="s">
        <v>252</v>
      </c>
      <c r="L18" t="s">
        <v>253</v>
      </c>
      <c r="M18" t="s">
        <v>254</v>
      </c>
    </row>
    <row r="19" spans="1:13" x14ac:dyDescent="0.45">
      <c r="A19" t="s">
        <v>255</v>
      </c>
      <c r="B19" t="s">
        <v>256</v>
      </c>
      <c r="C19" t="s">
        <v>257</v>
      </c>
      <c r="D19" t="s">
        <v>258</v>
      </c>
      <c r="E19" t="s">
        <v>259</v>
      </c>
      <c r="F19" t="s">
        <v>65</v>
      </c>
      <c r="G19" t="s">
        <v>260</v>
      </c>
      <c r="H19" t="s">
        <v>261</v>
      </c>
      <c r="I19" t="s">
        <v>262</v>
      </c>
      <c r="J19" t="s">
        <v>263</v>
      </c>
      <c r="K19" t="s">
        <v>264</v>
      </c>
      <c r="L19" t="s">
        <v>191</v>
      </c>
      <c r="M19" t="s">
        <v>265</v>
      </c>
    </row>
    <row r="20" spans="1:13" x14ac:dyDescent="0.45">
      <c r="A20" t="s">
        <v>266</v>
      </c>
      <c r="B20" t="s">
        <v>267</v>
      </c>
      <c r="C20" t="s">
        <v>268</v>
      </c>
      <c r="D20" t="s">
        <v>269</v>
      </c>
      <c r="E20" t="s">
        <v>270</v>
      </c>
      <c r="F20" t="s">
        <v>271</v>
      </c>
      <c r="G20" t="s">
        <v>272</v>
      </c>
      <c r="H20" t="s">
        <v>273</v>
      </c>
      <c r="I20" t="s">
        <v>274</v>
      </c>
      <c r="J20" t="s">
        <v>275</v>
      </c>
      <c r="K20" t="s">
        <v>276</v>
      </c>
      <c r="L20" t="s">
        <v>135</v>
      </c>
      <c r="M20" t="s">
        <v>277</v>
      </c>
    </row>
    <row r="21" spans="1:13" x14ac:dyDescent="0.45">
      <c r="A21" t="s">
        <v>278</v>
      </c>
      <c r="B21" t="s">
        <v>279</v>
      </c>
      <c r="C21" t="s">
        <v>280</v>
      </c>
      <c r="D21" t="s">
        <v>281</v>
      </c>
      <c r="E21" t="s">
        <v>282</v>
      </c>
      <c r="F21" t="s">
        <v>283</v>
      </c>
      <c r="G21" t="s">
        <v>284</v>
      </c>
      <c r="H21" t="s">
        <v>285</v>
      </c>
      <c r="I21" t="s">
        <v>286</v>
      </c>
      <c r="J21" t="s">
        <v>287</v>
      </c>
      <c r="K21" t="s">
        <v>288</v>
      </c>
      <c r="L21" t="s">
        <v>191</v>
      </c>
      <c r="M21" t="s">
        <v>289</v>
      </c>
    </row>
    <row r="22" spans="1:13" x14ac:dyDescent="0.45">
      <c r="A22" t="s">
        <v>290</v>
      </c>
      <c r="B22" t="s">
        <v>291</v>
      </c>
      <c r="C22" t="s">
        <v>292</v>
      </c>
      <c r="D22" t="s">
        <v>293</v>
      </c>
      <c r="E22" t="s">
        <v>294</v>
      </c>
      <c r="F22" t="s">
        <v>65</v>
      </c>
      <c r="G22" t="s">
        <v>295</v>
      </c>
      <c r="H22" t="s">
        <v>296</v>
      </c>
      <c r="I22" t="s">
        <v>297</v>
      </c>
      <c r="J22" t="s">
        <v>298</v>
      </c>
      <c r="K22" t="s">
        <v>299</v>
      </c>
      <c r="L22" t="s">
        <v>228</v>
      </c>
      <c r="M22" t="s">
        <v>300</v>
      </c>
    </row>
    <row r="23" spans="1:13" x14ac:dyDescent="0.45">
      <c r="A23" t="s">
        <v>301</v>
      </c>
      <c r="B23" t="s">
        <v>302</v>
      </c>
      <c r="C23" t="s">
        <v>303</v>
      </c>
      <c r="D23" t="s">
        <v>304</v>
      </c>
      <c r="E23" t="s">
        <v>305</v>
      </c>
      <c r="F23" t="s">
        <v>306</v>
      </c>
      <c r="G23" t="s">
        <v>307</v>
      </c>
      <c r="H23" t="s">
        <v>308</v>
      </c>
      <c r="I23" t="s">
        <v>309</v>
      </c>
      <c r="J23" t="s">
        <v>310</v>
      </c>
      <c r="K23" t="s">
        <v>311</v>
      </c>
      <c r="L23" t="s">
        <v>103</v>
      </c>
      <c r="M23" t="s">
        <v>312</v>
      </c>
    </row>
    <row r="24" spans="1:13" x14ac:dyDescent="0.45">
      <c r="A24" t="s">
        <v>313</v>
      </c>
      <c r="B24" t="s">
        <v>314</v>
      </c>
      <c r="C24" t="s">
        <v>315</v>
      </c>
      <c r="D24" t="s">
        <v>316</v>
      </c>
      <c r="E24" t="s">
        <v>317</v>
      </c>
      <c r="F24" t="s">
        <v>318</v>
      </c>
      <c r="G24" t="s">
        <v>319</v>
      </c>
      <c r="H24" t="s">
        <v>320</v>
      </c>
      <c r="I24" t="s">
        <v>321</v>
      </c>
      <c r="J24" t="s">
        <v>322</v>
      </c>
      <c r="K24" t="s">
        <v>323</v>
      </c>
      <c r="L24" t="s">
        <v>78</v>
      </c>
      <c r="M24" t="s">
        <v>324</v>
      </c>
    </row>
    <row r="25" spans="1:13" x14ac:dyDescent="0.45">
      <c r="A25" t="s">
        <v>325</v>
      </c>
      <c r="B25" t="s">
        <v>326</v>
      </c>
      <c r="C25" t="s">
        <v>327</v>
      </c>
      <c r="D25" t="s">
        <v>328</v>
      </c>
      <c r="E25" t="s">
        <v>329</v>
      </c>
      <c r="F25" t="s">
        <v>330</v>
      </c>
      <c r="G25" t="s">
        <v>331</v>
      </c>
      <c r="H25" t="s">
        <v>332</v>
      </c>
      <c r="I25" t="s">
        <v>333</v>
      </c>
      <c r="J25" t="s">
        <v>334</v>
      </c>
      <c r="K25" t="s">
        <v>335</v>
      </c>
      <c r="L25" t="s">
        <v>191</v>
      </c>
      <c r="M25" t="s">
        <v>336</v>
      </c>
    </row>
    <row r="26" spans="1:13" x14ac:dyDescent="0.45">
      <c r="A26" t="s">
        <v>337</v>
      </c>
      <c r="B26" t="s">
        <v>338</v>
      </c>
      <c r="C26" t="s">
        <v>339</v>
      </c>
      <c r="D26" t="s">
        <v>340</v>
      </c>
      <c r="E26" t="s">
        <v>341</v>
      </c>
      <c r="F26" t="s">
        <v>65</v>
      </c>
      <c r="G26" t="s">
        <v>342</v>
      </c>
      <c r="H26" t="s">
        <v>342</v>
      </c>
      <c r="I26" t="s">
        <v>342</v>
      </c>
      <c r="J26" t="s">
        <v>342</v>
      </c>
      <c r="K26" t="s">
        <v>343</v>
      </c>
      <c r="L26" t="s">
        <v>65</v>
      </c>
      <c r="M26" t="s">
        <v>344</v>
      </c>
    </row>
    <row r="27" spans="1:13" x14ac:dyDescent="0.45">
      <c r="A27" t="s">
        <v>345</v>
      </c>
      <c r="B27" t="s">
        <v>346</v>
      </c>
      <c r="C27" t="s">
        <v>347</v>
      </c>
      <c r="D27" t="s">
        <v>348</v>
      </c>
      <c r="E27" t="s">
        <v>349</v>
      </c>
      <c r="F27" t="s">
        <v>350</v>
      </c>
      <c r="G27" t="s">
        <v>351</v>
      </c>
      <c r="H27" t="s">
        <v>352</v>
      </c>
      <c r="I27" t="s">
        <v>353</v>
      </c>
      <c r="J27" t="s">
        <v>354</v>
      </c>
      <c r="K27" t="s">
        <v>355</v>
      </c>
      <c r="L27" t="s">
        <v>65</v>
      </c>
      <c r="M27" t="s">
        <v>356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5E37-6EE6-4F05-9D2B-EC324B371876}">
  <dimension ref="A1:H101"/>
  <sheetViews>
    <sheetView tabSelected="1" topLeftCell="A34" workbookViewId="0">
      <selection sqref="A1:F57"/>
    </sheetView>
  </sheetViews>
  <sheetFormatPr defaultRowHeight="14.25" x14ac:dyDescent="0.45"/>
  <cols>
    <col min="1" max="1" width="12.33203125" bestFit="1" customWidth="1"/>
    <col min="2" max="2" width="80.53125" bestFit="1" customWidth="1"/>
    <col min="3" max="3" width="17.3984375" bestFit="1" customWidth="1"/>
    <col min="4" max="4" width="10.86328125" bestFit="1" customWidth="1"/>
    <col min="5" max="5" width="7.46484375" bestFit="1" customWidth="1"/>
    <col min="6" max="6" width="5.33203125" customWidth="1"/>
    <col min="8" max="8" width="15.33203125" customWidth="1"/>
  </cols>
  <sheetData>
    <row r="1" spans="1:8" x14ac:dyDescent="0.45">
      <c r="A1" t="s">
        <v>610</v>
      </c>
      <c r="B1" t="s">
        <v>42</v>
      </c>
      <c r="C1" t="s">
        <v>611</v>
      </c>
      <c r="D1" t="s">
        <v>3</v>
      </c>
      <c r="E1" t="s">
        <v>612</v>
      </c>
      <c r="F1" t="s">
        <v>613</v>
      </c>
    </row>
    <row r="2" spans="1:8" x14ac:dyDescent="0.45">
      <c r="A2" s="1" t="s">
        <v>357</v>
      </c>
      <c r="B2" s="2" t="s">
        <v>358</v>
      </c>
      <c r="C2" s="2" t="s">
        <v>359</v>
      </c>
      <c r="D2" s="2" t="s">
        <v>360</v>
      </c>
      <c r="E2" s="2" t="s">
        <v>361</v>
      </c>
      <c r="F2" s="3" t="s">
        <v>362</v>
      </c>
      <c r="H2" t="str">
        <f>LEFT(B2,13)</f>
        <v>Hindu College</v>
      </c>
    </row>
    <row r="3" spans="1:8" x14ac:dyDescent="0.45">
      <c r="A3" s="4" t="s">
        <v>363</v>
      </c>
      <c r="B3" s="5" t="s">
        <v>364</v>
      </c>
      <c r="C3" s="5" t="s">
        <v>359</v>
      </c>
      <c r="D3" s="5" t="s">
        <v>359</v>
      </c>
      <c r="E3" s="5">
        <v>83.2</v>
      </c>
      <c r="F3" s="6">
        <v>2</v>
      </c>
      <c r="H3" t="str">
        <f t="shared" ref="H3:H66" si="0">LEFT(B3,13)</f>
        <v>Miranda House</v>
      </c>
    </row>
    <row r="4" spans="1:8" x14ac:dyDescent="0.45">
      <c r="A4" s="7" t="s">
        <v>365</v>
      </c>
      <c r="B4" s="8" t="s">
        <v>366</v>
      </c>
      <c r="C4" s="8" t="s">
        <v>359</v>
      </c>
      <c r="D4" s="8" t="s">
        <v>359</v>
      </c>
      <c r="E4" s="8">
        <v>81.75</v>
      </c>
      <c r="F4" s="9">
        <v>3</v>
      </c>
      <c r="H4" t="str">
        <f t="shared" si="0"/>
        <v>Hans Raj Coll</v>
      </c>
    </row>
    <row r="5" spans="1:8" x14ac:dyDescent="0.45">
      <c r="A5" s="4" t="s">
        <v>367</v>
      </c>
      <c r="B5" s="5" t="s">
        <v>368</v>
      </c>
      <c r="C5" s="5" t="s">
        <v>359</v>
      </c>
      <c r="D5" s="5" t="s">
        <v>359</v>
      </c>
      <c r="E5" s="5">
        <v>80.33</v>
      </c>
      <c r="F5" s="6">
        <v>4</v>
      </c>
      <c r="H5" t="str">
        <f t="shared" si="0"/>
        <v>Kirori Mal Co</v>
      </c>
    </row>
    <row r="6" spans="1:8" x14ac:dyDescent="0.45">
      <c r="A6" s="7" t="s">
        <v>369</v>
      </c>
      <c r="B6" s="8" t="s">
        <v>370</v>
      </c>
      <c r="C6" s="8" t="s">
        <v>359</v>
      </c>
      <c r="D6" s="8" t="s">
        <v>359</v>
      </c>
      <c r="E6" s="8">
        <v>79.41</v>
      </c>
      <c r="F6" s="9">
        <v>5</v>
      </c>
      <c r="H6" t="str">
        <f t="shared" si="0"/>
        <v>St. Stephens'</v>
      </c>
    </row>
    <row r="7" spans="1:8" x14ac:dyDescent="0.45">
      <c r="A7" s="4" t="s">
        <v>371</v>
      </c>
      <c r="B7" s="5" t="s">
        <v>372</v>
      </c>
      <c r="C7" s="5" t="s">
        <v>373</v>
      </c>
      <c r="D7" s="5" t="s">
        <v>374</v>
      </c>
      <c r="E7" s="5">
        <v>76.739999999999995</v>
      </c>
      <c r="F7" s="6">
        <v>6</v>
      </c>
      <c r="H7" t="str">
        <f t="shared" si="0"/>
        <v xml:space="preserve">Rama Krishna </v>
      </c>
    </row>
    <row r="8" spans="1:8" x14ac:dyDescent="0.45">
      <c r="A8" s="7" t="s">
        <v>375</v>
      </c>
      <c r="B8" s="8" t="s">
        <v>376</v>
      </c>
      <c r="C8" s="8" t="s">
        <v>377</v>
      </c>
      <c r="D8" s="8" t="s">
        <v>359</v>
      </c>
      <c r="E8" s="8">
        <v>76.09</v>
      </c>
      <c r="F8" s="9">
        <v>7</v>
      </c>
      <c r="H8" t="str">
        <f t="shared" si="0"/>
        <v>Atma Ram Sana</v>
      </c>
    </row>
    <row r="9" spans="1:8" x14ac:dyDescent="0.45">
      <c r="A9" s="4" t="s">
        <v>378</v>
      </c>
      <c r="B9" s="5" t="s">
        <v>379</v>
      </c>
      <c r="C9" s="5" t="s">
        <v>373</v>
      </c>
      <c r="D9" s="5" t="s">
        <v>374</v>
      </c>
      <c r="E9" s="5">
        <v>76.069999999999993</v>
      </c>
      <c r="F9" s="6">
        <v>8</v>
      </c>
      <c r="H9" t="str">
        <f t="shared" si="0"/>
        <v xml:space="preserve">St. Xavier`s </v>
      </c>
    </row>
    <row r="10" spans="1:8" x14ac:dyDescent="0.45">
      <c r="A10" s="7" t="s">
        <v>380</v>
      </c>
      <c r="B10" s="8" t="s">
        <v>381</v>
      </c>
      <c r="C10" s="8" t="s">
        <v>382</v>
      </c>
      <c r="D10" s="8" t="s">
        <v>383</v>
      </c>
      <c r="E10" s="8">
        <v>75.52</v>
      </c>
      <c r="F10" s="9">
        <v>9</v>
      </c>
      <c r="H10" t="str">
        <f t="shared" si="0"/>
        <v>PSGR Krishnam</v>
      </c>
    </row>
    <row r="11" spans="1:8" x14ac:dyDescent="0.45">
      <c r="A11" s="4" t="s">
        <v>384</v>
      </c>
      <c r="B11" s="5" t="s">
        <v>385</v>
      </c>
      <c r="C11" s="5" t="s">
        <v>382</v>
      </c>
      <c r="D11" s="5" t="s">
        <v>383</v>
      </c>
      <c r="E11" s="5">
        <v>73.150000000000006</v>
      </c>
      <c r="F11" s="6">
        <v>10</v>
      </c>
      <c r="H11" t="str">
        <f t="shared" si="0"/>
        <v>PSG College o</v>
      </c>
    </row>
    <row r="12" spans="1:8" x14ac:dyDescent="0.45">
      <c r="A12" s="7" t="s">
        <v>386</v>
      </c>
      <c r="B12" s="8" t="s">
        <v>387</v>
      </c>
      <c r="C12" s="8" t="s">
        <v>359</v>
      </c>
      <c r="D12" s="8" t="s">
        <v>359</v>
      </c>
      <c r="E12" s="8">
        <v>72.61</v>
      </c>
      <c r="F12" s="9">
        <v>11</v>
      </c>
      <c r="H12" t="str">
        <f t="shared" si="0"/>
        <v>Sri Venkatesw</v>
      </c>
    </row>
    <row r="13" spans="1:8" x14ac:dyDescent="0.45">
      <c r="A13" s="4" t="s">
        <v>388</v>
      </c>
      <c r="B13" s="5" t="s">
        <v>389</v>
      </c>
      <c r="C13" s="5" t="s">
        <v>390</v>
      </c>
      <c r="D13" s="5" t="s">
        <v>391</v>
      </c>
      <c r="E13" s="5">
        <v>71.72</v>
      </c>
      <c r="F13" s="6">
        <v>12</v>
      </c>
      <c r="H13" t="str">
        <f t="shared" si="0"/>
        <v>Rajagiri Coll</v>
      </c>
    </row>
    <row r="14" spans="1:8" x14ac:dyDescent="0.45">
      <c r="A14" s="7" t="s">
        <v>392</v>
      </c>
      <c r="B14" s="8" t="s">
        <v>393</v>
      </c>
      <c r="C14" s="8" t="s">
        <v>377</v>
      </c>
      <c r="D14" s="8" t="s">
        <v>359</v>
      </c>
      <c r="E14" s="8">
        <v>71.260000000000005</v>
      </c>
      <c r="F14" s="9">
        <v>13</v>
      </c>
      <c r="H14" t="str">
        <f t="shared" si="0"/>
        <v>Deshbandhu Co</v>
      </c>
    </row>
    <row r="15" spans="1:8" x14ac:dyDescent="0.45">
      <c r="A15" s="4" t="s">
        <v>394</v>
      </c>
      <c r="B15" s="5" t="s">
        <v>395</v>
      </c>
      <c r="C15" s="5" t="s">
        <v>396</v>
      </c>
      <c r="D15" s="5" t="s">
        <v>383</v>
      </c>
      <c r="E15" s="5">
        <v>71.14</v>
      </c>
      <c r="F15" s="6">
        <v>14</v>
      </c>
      <c r="H15" t="str">
        <f t="shared" si="0"/>
        <v>Loyola Colleg</v>
      </c>
    </row>
    <row r="16" spans="1:8" x14ac:dyDescent="0.45">
      <c r="A16" s="7" t="s">
        <v>397</v>
      </c>
      <c r="B16" s="8" t="s">
        <v>398</v>
      </c>
      <c r="C16" s="8" t="s">
        <v>396</v>
      </c>
      <c r="D16" s="8" t="s">
        <v>383</v>
      </c>
      <c r="E16" s="8">
        <v>70.62</v>
      </c>
      <c r="F16" s="9">
        <v>15</v>
      </c>
      <c r="H16" t="str">
        <f t="shared" si="0"/>
        <v>Presidency Co</v>
      </c>
    </row>
    <row r="17" spans="1:8" x14ac:dyDescent="0.45">
      <c r="A17" s="4" t="s">
        <v>399</v>
      </c>
      <c r="B17" s="5" t="s">
        <v>400</v>
      </c>
      <c r="C17" s="5" t="s">
        <v>396</v>
      </c>
      <c r="D17" s="5" t="s">
        <v>383</v>
      </c>
      <c r="E17" s="5">
        <v>70.569999999999993</v>
      </c>
      <c r="F17" s="6">
        <v>16</v>
      </c>
      <c r="H17" t="str">
        <f t="shared" si="0"/>
        <v>Madras Christ</v>
      </c>
    </row>
    <row r="18" spans="1:8" x14ac:dyDescent="0.45">
      <c r="A18" s="7" t="s">
        <v>401</v>
      </c>
      <c r="B18" s="8" t="s">
        <v>402</v>
      </c>
      <c r="C18" s="8" t="s">
        <v>377</v>
      </c>
      <c r="D18" s="8" t="s">
        <v>359</v>
      </c>
      <c r="E18" s="8">
        <v>69.87</v>
      </c>
      <c r="F18" s="9">
        <v>17</v>
      </c>
      <c r="H18" t="str">
        <f t="shared" si="0"/>
        <v>Lady Shri Ram</v>
      </c>
    </row>
    <row r="19" spans="1:8" x14ac:dyDescent="0.45">
      <c r="A19" s="4" t="s">
        <v>403</v>
      </c>
      <c r="B19" s="5" t="s">
        <v>404</v>
      </c>
      <c r="C19" s="5" t="s">
        <v>359</v>
      </c>
      <c r="D19" s="5" t="s">
        <v>359</v>
      </c>
      <c r="E19" s="5">
        <v>69.010000000000005</v>
      </c>
      <c r="F19" s="6">
        <v>18</v>
      </c>
      <c r="H19" t="str">
        <f t="shared" si="0"/>
        <v>Shri Ram Coll</v>
      </c>
    </row>
    <row r="20" spans="1:8" x14ac:dyDescent="0.45">
      <c r="A20" s="7" t="s">
        <v>405</v>
      </c>
      <c r="B20" s="8" t="s">
        <v>406</v>
      </c>
      <c r="C20" s="8" t="s">
        <v>407</v>
      </c>
      <c r="D20" s="8" t="s">
        <v>374</v>
      </c>
      <c r="E20" s="8">
        <v>69</v>
      </c>
      <c r="F20" s="9">
        <v>19</v>
      </c>
      <c r="H20" t="str">
        <f t="shared" si="0"/>
        <v>Ramakrishna M</v>
      </c>
    </row>
    <row r="21" spans="1:8" x14ac:dyDescent="0.45">
      <c r="A21" s="4" t="s">
        <v>408</v>
      </c>
      <c r="B21" s="5" t="s">
        <v>409</v>
      </c>
      <c r="C21" s="5" t="s">
        <v>410</v>
      </c>
      <c r="D21" s="5" t="s">
        <v>383</v>
      </c>
      <c r="E21" s="5">
        <v>68.930000000000007</v>
      </c>
      <c r="F21" s="6">
        <v>20</v>
      </c>
      <c r="H21" t="str">
        <f t="shared" si="0"/>
        <v>Thiagarajar C</v>
      </c>
    </row>
    <row r="22" spans="1:8" x14ac:dyDescent="0.45">
      <c r="A22" s="7" t="s">
        <v>411</v>
      </c>
      <c r="B22" s="8" t="s">
        <v>412</v>
      </c>
      <c r="C22" s="8" t="s">
        <v>377</v>
      </c>
      <c r="D22" s="8" t="s">
        <v>359</v>
      </c>
      <c r="E22" s="8">
        <v>68.209999999999994</v>
      </c>
      <c r="F22" s="9">
        <v>21</v>
      </c>
      <c r="H22" t="str">
        <f t="shared" si="0"/>
        <v>Acharya Naren</v>
      </c>
    </row>
    <row r="23" spans="1:8" x14ac:dyDescent="0.45">
      <c r="A23" s="4" t="s">
        <v>413</v>
      </c>
      <c r="B23" s="5" t="s">
        <v>414</v>
      </c>
      <c r="C23" s="5" t="s">
        <v>415</v>
      </c>
      <c r="D23" s="5" t="s">
        <v>383</v>
      </c>
      <c r="E23" s="5">
        <v>67.27</v>
      </c>
      <c r="F23" s="6">
        <v>22</v>
      </c>
      <c r="H23" t="str">
        <f t="shared" si="0"/>
        <v>V.O. Chidamba</v>
      </c>
    </row>
    <row r="24" spans="1:8" x14ac:dyDescent="0.45">
      <c r="A24" s="7" t="s">
        <v>416</v>
      </c>
      <c r="B24" s="8" t="s">
        <v>417</v>
      </c>
      <c r="C24" s="8" t="s">
        <v>418</v>
      </c>
      <c r="D24" s="8" t="s">
        <v>391</v>
      </c>
      <c r="E24" s="8">
        <v>67.17</v>
      </c>
      <c r="F24" s="9">
        <v>23</v>
      </c>
      <c r="H24" t="str">
        <f t="shared" si="0"/>
        <v>University Co</v>
      </c>
    </row>
    <row r="25" spans="1:8" x14ac:dyDescent="0.45">
      <c r="A25" s="4" t="s">
        <v>419</v>
      </c>
      <c r="B25" s="5" t="s">
        <v>420</v>
      </c>
      <c r="C25" s="5" t="s">
        <v>373</v>
      </c>
      <c r="D25" s="5" t="s">
        <v>374</v>
      </c>
      <c r="E25" s="5">
        <v>66.81</v>
      </c>
      <c r="F25" s="6">
        <v>24</v>
      </c>
      <c r="H25" t="str">
        <f t="shared" si="0"/>
        <v>Ramakrishna M</v>
      </c>
    </row>
    <row r="26" spans="1:8" x14ac:dyDescent="0.45">
      <c r="A26" s="7" t="s">
        <v>421</v>
      </c>
      <c r="B26" s="8" t="s">
        <v>422</v>
      </c>
      <c r="C26" s="8" t="s">
        <v>423</v>
      </c>
      <c r="D26" s="8" t="s">
        <v>383</v>
      </c>
      <c r="E26" s="8">
        <v>66.59</v>
      </c>
      <c r="F26" s="9">
        <v>25</v>
      </c>
      <c r="H26" t="str">
        <f t="shared" si="0"/>
        <v xml:space="preserve">St. Joseph's </v>
      </c>
    </row>
    <row r="27" spans="1:8" x14ac:dyDescent="0.45">
      <c r="A27" s="4" t="s">
        <v>424</v>
      </c>
      <c r="B27" s="5" t="s">
        <v>425</v>
      </c>
      <c r="C27" s="5" t="s">
        <v>359</v>
      </c>
      <c r="D27" s="5" t="s">
        <v>359</v>
      </c>
      <c r="E27" s="5">
        <v>64.56</v>
      </c>
      <c r="F27" s="6">
        <v>26</v>
      </c>
      <c r="H27" t="str">
        <f t="shared" si="0"/>
        <v>Daulat Ram Co</v>
      </c>
    </row>
    <row r="28" spans="1:8" x14ac:dyDescent="0.45">
      <c r="A28" s="7" t="s">
        <v>426</v>
      </c>
      <c r="B28" s="8" t="s">
        <v>427</v>
      </c>
      <c r="C28" s="8" t="s">
        <v>377</v>
      </c>
      <c r="D28" s="8" t="s">
        <v>359</v>
      </c>
      <c r="E28" s="8">
        <v>64.19</v>
      </c>
      <c r="F28" s="9">
        <v>27</v>
      </c>
      <c r="H28" t="str">
        <f t="shared" si="0"/>
        <v>Deen Dayal Up</v>
      </c>
    </row>
    <row r="29" spans="1:8" x14ac:dyDescent="0.45">
      <c r="A29" s="4" t="s">
        <v>428</v>
      </c>
      <c r="B29" s="5" t="s">
        <v>429</v>
      </c>
      <c r="C29" s="5" t="s">
        <v>359</v>
      </c>
      <c r="D29" s="5" t="s">
        <v>359</v>
      </c>
      <c r="E29" s="5">
        <v>63.82</v>
      </c>
      <c r="F29" s="6">
        <v>28</v>
      </c>
      <c r="H29" t="str">
        <f t="shared" si="0"/>
        <v>Ramjas Colleg</v>
      </c>
    </row>
    <row r="30" spans="1:8" x14ac:dyDescent="0.45">
      <c r="A30" s="7" t="s">
        <v>430</v>
      </c>
      <c r="B30" s="8" t="s">
        <v>431</v>
      </c>
      <c r="C30" s="8" t="s">
        <v>359</v>
      </c>
      <c r="D30" s="8" t="s">
        <v>359</v>
      </c>
      <c r="E30" s="8">
        <v>63.26</v>
      </c>
      <c r="F30" s="9">
        <v>29</v>
      </c>
      <c r="H30" t="str">
        <f t="shared" si="0"/>
        <v>Sri Guru Tegh</v>
      </c>
    </row>
    <row r="31" spans="1:8" x14ac:dyDescent="0.45">
      <c r="A31" s="4" t="s">
        <v>432</v>
      </c>
      <c r="B31" s="5" t="s">
        <v>433</v>
      </c>
      <c r="C31" s="5" t="s">
        <v>434</v>
      </c>
      <c r="D31" s="5" t="s">
        <v>359</v>
      </c>
      <c r="E31" s="5">
        <v>63.11</v>
      </c>
      <c r="F31" s="6">
        <v>30</v>
      </c>
      <c r="H31" t="str">
        <f t="shared" si="0"/>
        <v>Delhi College</v>
      </c>
    </row>
    <row r="32" spans="1:8" x14ac:dyDescent="0.45">
      <c r="A32" s="7" t="s">
        <v>435</v>
      </c>
      <c r="B32" s="8" t="s">
        <v>436</v>
      </c>
      <c r="C32" s="8" t="s">
        <v>359</v>
      </c>
      <c r="D32" s="8" t="s">
        <v>359</v>
      </c>
      <c r="E32" s="8">
        <v>62.88</v>
      </c>
      <c r="F32" s="9">
        <v>31</v>
      </c>
      <c r="H32" t="str">
        <f t="shared" si="0"/>
        <v>Lady Irwin Co</v>
      </c>
    </row>
    <row r="33" spans="1:8" x14ac:dyDescent="0.45">
      <c r="A33" s="4" t="s">
        <v>437</v>
      </c>
      <c r="B33" s="5" t="s">
        <v>438</v>
      </c>
      <c r="C33" s="5" t="s">
        <v>359</v>
      </c>
      <c r="D33" s="5" t="s">
        <v>359</v>
      </c>
      <c r="E33" s="5">
        <v>62.63</v>
      </c>
      <c r="F33" s="6">
        <v>32</v>
      </c>
      <c r="H33" t="str">
        <f t="shared" si="0"/>
        <v>Sri Guru Gobi</v>
      </c>
    </row>
    <row r="34" spans="1:8" x14ac:dyDescent="0.45">
      <c r="A34" s="7" t="s">
        <v>439</v>
      </c>
      <c r="B34" s="8" t="s">
        <v>440</v>
      </c>
      <c r="C34" s="8" t="s">
        <v>359</v>
      </c>
      <c r="D34" s="8" t="s">
        <v>359</v>
      </c>
      <c r="E34" s="8">
        <v>62.48</v>
      </c>
      <c r="F34" s="9">
        <v>33</v>
      </c>
      <c r="H34" t="str">
        <f t="shared" si="0"/>
        <v>Gargi College</v>
      </c>
    </row>
    <row r="35" spans="1:8" x14ac:dyDescent="0.45">
      <c r="A35" s="4" t="s">
        <v>441</v>
      </c>
      <c r="B35" s="5" t="s">
        <v>442</v>
      </c>
      <c r="C35" s="5" t="s">
        <v>443</v>
      </c>
      <c r="D35" s="5" t="s">
        <v>444</v>
      </c>
      <c r="E35" s="5">
        <v>62.29</v>
      </c>
      <c r="F35" s="6">
        <v>34</v>
      </c>
      <c r="H35" t="str">
        <f t="shared" si="0"/>
        <v>Kristu Jayant</v>
      </c>
    </row>
    <row r="36" spans="1:8" x14ac:dyDescent="0.45">
      <c r="A36" s="7" t="s">
        <v>445</v>
      </c>
      <c r="B36" s="8" t="s">
        <v>446</v>
      </c>
      <c r="C36" s="8" t="s">
        <v>447</v>
      </c>
      <c r="D36" s="8" t="s">
        <v>447</v>
      </c>
      <c r="E36" s="8">
        <v>62.18</v>
      </c>
      <c r="F36" s="9">
        <v>35</v>
      </c>
      <c r="H36" t="str">
        <f t="shared" si="0"/>
        <v>Govt Home Sci</v>
      </c>
    </row>
    <row r="37" spans="1:8" x14ac:dyDescent="0.45">
      <c r="A37" s="4" t="s">
        <v>448</v>
      </c>
      <c r="B37" s="5" t="s">
        <v>449</v>
      </c>
      <c r="C37" s="5" t="s">
        <v>377</v>
      </c>
      <c r="D37" s="5" t="s">
        <v>359</v>
      </c>
      <c r="E37" s="5">
        <v>61.99</v>
      </c>
      <c r="F37" s="6">
        <v>36</v>
      </c>
      <c r="H37" t="str">
        <f t="shared" si="0"/>
        <v>Dyal Singh Co</v>
      </c>
    </row>
    <row r="38" spans="1:8" x14ac:dyDescent="0.45">
      <c r="A38" s="7" t="s">
        <v>450</v>
      </c>
      <c r="B38" s="8" t="s">
        <v>451</v>
      </c>
      <c r="C38" s="8" t="s">
        <v>377</v>
      </c>
      <c r="D38" s="8" t="s">
        <v>359</v>
      </c>
      <c r="E38" s="8">
        <v>61.85</v>
      </c>
      <c r="F38" s="9">
        <v>37</v>
      </c>
      <c r="H38" t="str">
        <f t="shared" si="0"/>
        <v>Ramanujan Col</v>
      </c>
    </row>
    <row r="39" spans="1:8" x14ac:dyDescent="0.45">
      <c r="A39" s="4" t="s">
        <v>452</v>
      </c>
      <c r="B39" s="5" t="s">
        <v>453</v>
      </c>
      <c r="C39" s="5" t="s">
        <v>377</v>
      </c>
      <c r="D39" s="5" t="s">
        <v>359</v>
      </c>
      <c r="E39" s="5">
        <v>61.84</v>
      </c>
      <c r="F39" s="6">
        <v>38</v>
      </c>
      <c r="H39" t="str">
        <f t="shared" si="0"/>
        <v>Maitreyi Coll</v>
      </c>
    </row>
    <row r="40" spans="1:8" x14ac:dyDescent="0.45">
      <c r="A40" s="7" t="s">
        <v>454</v>
      </c>
      <c r="B40" s="8" t="s">
        <v>455</v>
      </c>
      <c r="C40" s="8" t="s">
        <v>377</v>
      </c>
      <c r="D40" s="8" t="s">
        <v>359</v>
      </c>
      <c r="E40" s="8">
        <v>61.55</v>
      </c>
      <c r="F40" s="9">
        <v>39</v>
      </c>
      <c r="H40" t="str">
        <f t="shared" si="0"/>
        <v>Shaheed Bhaga</v>
      </c>
    </row>
    <row r="41" spans="1:8" x14ac:dyDescent="0.45">
      <c r="A41" s="4" t="s">
        <v>456</v>
      </c>
      <c r="B41" s="5" t="s">
        <v>457</v>
      </c>
      <c r="C41" s="5" t="s">
        <v>458</v>
      </c>
      <c r="D41" s="5" t="s">
        <v>383</v>
      </c>
      <c r="E41" s="5">
        <v>61.5</v>
      </c>
      <c r="F41" s="6">
        <v>40</v>
      </c>
      <c r="H41" t="str">
        <f t="shared" si="0"/>
        <v xml:space="preserve">Dhanalakshmi </v>
      </c>
    </row>
    <row r="42" spans="1:8" x14ac:dyDescent="0.45">
      <c r="A42" s="7" t="s">
        <v>459</v>
      </c>
      <c r="B42" s="8" t="s">
        <v>460</v>
      </c>
      <c r="C42" s="8" t="s">
        <v>396</v>
      </c>
      <c r="D42" s="8" t="s">
        <v>383</v>
      </c>
      <c r="E42" s="8">
        <v>61.25</v>
      </c>
      <c r="F42" s="9">
        <v>41</v>
      </c>
      <c r="H42" t="str">
        <f t="shared" si="0"/>
        <v xml:space="preserve">Stella Maris </v>
      </c>
    </row>
    <row r="43" spans="1:8" x14ac:dyDescent="0.45">
      <c r="A43" s="4" t="s">
        <v>461</v>
      </c>
      <c r="B43" s="5" t="s">
        <v>462</v>
      </c>
      <c r="C43" s="5" t="s">
        <v>463</v>
      </c>
      <c r="D43" s="5" t="s">
        <v>374</v>
      </c>
      <c r="E43" s="5">
        <v>61.23</v>
      </c>
      <c r="F43" s="6">
        <v>42</v>
      </c>
      <c r="H43" t="str">
        <f t="shared" si="0"/>
        <v>Midnapore Col</v>
      </c>
    </row>
    <row r="44" spans="1:8" x14ac:dyDescent="0.45">
      <c r="A44" s="7" t="s">
        <v>464</v>
      </c>
      <c r="B44" s="8" t="s">
        <v>465</v>
      </c>
      <c r="C44" s="8" t="s">
        <v>359</v>
      </c>
      <c r="D44" s="8" t="s">
        <v>359</v>
      </c>
      <c r="E44" s="8">
        <v>60.96</v>
      </c>
      <c r="F44" s="9">
        <v>43</v>
      </c>
      <c r="H44" t="str">
        <f t="shared" si="0"/>
        <v>Shyam Lal Col</v>
      </c>
    </row>
    <row r="45" spans="1:8" x14ac:dyDescent="0.45">
      <c r="A45" s="4" t="s">
        <v>466</v>
      </c>
      <c r="B45" s="5" t="s">
        <v>467</v>
      </c>
      <c r="C45" s="5" t="s">
        <v>468</v>
      </c>
      <c r="D45" s="5" t="s">
        <v>391</v>
      </c>
      <c r="E45" s="5">
        <v>60.77</v>
      </c>
      <c r="F45" s="6">
        <v>44</v>
      </c>
      <c r="H45" t="str">
        <f t="shared" si="0"/>
        <v xml:space="preserve">Sacred Heart </v>
      </c>
    </row>
    <row r="46" spans="1:8" x14ac:dyDescent="0.45">
      <c r="A46" s="7" t="s">
        <v>469</v>
      </c>
      <c r="B46" s="8" t="s">
        <v>470</v>
      </c>
      <c r="C46" s="8" t="s">
        <v>377</v>
      </c>
      <c r="D46" s="8" t="s">
        <v>359</v>
      </c>
      <c r="E46" s="8">
        <v>60.2</v>
      </c>
      <c r="F46" s="9">
        <v>45</v>
      </c>
      <c r="H46" t="str">
        <f t="shared" si="0"/>
        <v>Bhaskarachary</v>
      </c>
    </row>
    <row r="47" spans="1:8" x14ac:dyDescent="0.45">
      <c r="A47" s="4" t="s">
        <v>471</v>
      </c>
      <c r="B47" s="5" t="s">
        <v>472</v>
      </c>
      <c r="C47" s="5" t="s">
        <v>423</v>
      </c>
      <c r="D47" s="5" t="s">
        <v>383</v>
      </c>
      <c r="E47" s="5">
        <v>60.18</v>
      </c>
      <c r="F47" s="6">
        <v>46</v>
      </c>
      <c r="H47" t="str">
        <f t="shared" si="0"/>
        <v xml:space="preserve">Bishop Heber </v>
      </c>
    </row>
    <row r="48" spans="1:8" x14ac:dyDescent="0.45">
      <c r="A48" s="7" t="s">
        <v>473</v>
      </c>
      <c r="B48" s="8" t="s">
        <v>474</v>
      </c>
      <c r="C48" s="8" t="s">
        <v>475</v>
      </c>
      <c r="D48" s="8" t="s">
        <v>374</v>
      </c>
      <c r="E48" s="8">
        <v>60.17</v>
      </c>
      <c r="F48" s="9">
        <v>47</v>
      </c>
      <c r="H48" t="str">
        <f t="shared" si="0"/>
        <v>Lady Brabourn</v>
      </c>
    </row>
    <row r="49" spans="1:8" x14ac:dyDescent="0.45">
      <c r="A49" s="4" t="s">
        <v>476</v>
      </c>
      <c r="B49" s="5" t="s">
        <v>477</v>
      </c>
      <c r="C49" s="5" t="s">
        <v>478</v>
      </c>
      <c r="D49" s="5" t="s">
        <v>383</v>
      </c>
      <c r="E49" s="5">
        <v>60.16</v>
      </c>
      <c r="F49" s="6">
        <v>48</v>
      </c>
      <c r="H49" t="str">
        <f t="shared" si="0"/>
        <v xml:space="preserve">St. Xavier's </v>
      </c>
    </row>
    <row r="50" spans="1:8" x14ac:dyDescent="0.45">
      <c r="A50" s="7" t="s">
        <v>479</v>
      </c>
      <c r="B50" s="8" t="s">
        <v>480</v>
      </c>
      <c r="C50" s="8" t="s">
        <v>481</v>
      </c>
      <c r="D50" s="8" t="s">
        <v>482</v>
      </c>
      <c r="E50" s="8">
        <v>59.88</v>
      </c>
      <c r="F50" s="9">
        <v>49</v>
      </c>
      <c r="H50" t="str">
        <f t="shared" si="0"/>
        <v>Pachhunga Uni</v>
      </c>
    </row>
    <row r="51" spans="1:8" x14ac:dyDescent="0.45">
      <c r="A51" s="4" t="s">
        <v>483</v>
      </c>
      <c r="B51" s="5" t="s">
        <v>484</v>
      </c>
      <c r="C51" s="5" t="s">
        <v>382</v>
      </c>
      <c r="D51" s="5" t="s">
        <v>383</v>
      </c>
      <c r="E51" s="5">
        <v>59.74</v>
      </c>
      <c r="F51" s="6">
        <v>50</v>
      </c>
      <c r="H51" t="str">
        <f t="shared" si="0"/>
        <v>Sri Krishna A</v>
      </c>
    </row>
    <row r="52" spans="1:8" x14ac:dyDescent="0.45">
      <c r="A52" s="7" t="s">
        <v>485</v>
      </c>
      <c r="B52" s="8" t="s">
        <v>486</v>
      </c>
      <c r="C52" s="8" t="s">
        <v>487</v>
      </c>
      <c r="D52" s="8" t="s">
        <v>488</v>
      </c>
      <c r="E52" s="8">
        <v>59.58</v>
      </c>
      <c r="F52" s="9">
        <v>51</v>
      </c>
      <c r="H52" t="str">
        <f t="shared" si="0"/>
        <v>Kanchi Mamuni</v>
      </c>
    </row>
    <row r="53" spans="1:8" x14ac:dyDescent="0.45">
      <c r="A53" s="4" t="s">
        <v>489</v>
      </c>
      <c r="B53" s="5" t="s">
        <v>490</v>
      </c>
      <c r="C53" s="5" t="s">
        <v>423</v>
      </c>
      <c r="D53" s="5" t="s">
        <v>383</v>
      </c>
      <c r="E53" s="5">
        <v>59.47</v>
      </c>
      <c r="F53" s="6">
        <v>52</v>
      </c>
      <c r="H53" t="str">
        <f t="shared" si="0"/>
        <v>Holy Cross Co</v>
      </c>
    </row>
    <row r="54" spans="1:8" x14ac:dyDescent="0.45">
      <c r="A54" s="7" t="s">
        <v>491</v>
      </c>
      <c r="B54" s="8" t="s">
        <v>492</v>
      </c>
      <c r="C54" s="8" t="s">
        <v>493</v>
      </c>
      <c r="D54" s="8" t="s">
        <v>391</v>
      </c>
      <c r="E54" s="8">
        <v>59.19</v>
      </c>
      <c r="F54" s="9">
        <v>53</v>
      </c>
      <c r="H54" t="str">
        <f t="shared" si="0"/>
        <v>St. Thomas Co</v>
      </c>
    </row>
    <row r="55" spans="1:8" x14ac:dyDescent="0.45">
      <c r="A55" s="4" t="s">
        <v>494</v>
      </c>
      <c r="B55" s="5" t="s">
        <v>495</v>
      </c>
      <c r="C55" s="5" t="s">
        <v>418</v>
      </c>
      <c r="D55" s="5" t="s">
        <v>391</v>
      </c>
      <c r="E55" s="5">
        <v>58.99</v>
      </c>
      <c r="F55" s="6">
        <v>54</v>
      </c>
      <c r="H55" t="str">
        <f t="shared" si="0"/>
        <v>Govt. College</v>
      </c>
    </row>
    <row r="56" spans="1:8" x14ac:dyDescent="0.45">
      <c r="A56" s="7" t="s">
        <v>496</v>
      </c>
      <c r="B56" s="8" t="s">
        <v>497</v>
      </c>
      <c r="C56" s="8" t="s">
        <v>396</v>
      </c>
      <c r="D56" s="8" t="s">
        <v>383</v>
      </c>
      <c r="E56" s="8">
        <v>58.9</v>
      </c>
      <c r="F56" s="9">
        <v>55</v>
      </c>
      <c r="H56" t="str">
        <f t="shared" si="0"/>
        <v>Madras School</v>
      </c>
    </row>
    <row r="57" spans="1:8" x14ac:dyDescent="0.45">
      <c r="A57" s="4" t="s">
        <v>498</v>
      </c>
      <c r="B57" s="5" t="s">
        <v>499</v>
      </c>
      <c r="C57" s="5" t="s">
        <v>500</v>
      </c>
      <c r="D57" s="5" t="s">
        <v>391</v>
      </c>
      <c r="E57" s="5">
        <v>58.38</v>
      </c>
      <c r="F57" s="6">
        <v>56</v>
      </c>
      <c r="H57" t="str">
        <f t="shared" si="0"/>
        <v xml:space="preserve">St Berchmans </v>
      </c>
    </row>
    <row r="58" spans="1:8" x14ac:dyDescent="0.45">
      <c r="A58" s="7" t="s">
        <v>501</v>
      </c>
      <c r="B58" s="8" t="s">
        <v>502</v>
      </c>
      <c r="C58" s="8" t="s">
        <v>36</v>
      </c>
      <c r="D58" s="8" t="s">
        <v>37</v>
      </c>
      <c r="E58" s="8">
        <v>58.35</v>
      </c>
      <c r="F58" s="9">
        <v>57</v>
      </c>
      <c r="H58" t="str">
        <f t="shared" si="0"/>
        <v>Fergusson Col</v>
      </c>
    </row>
    <row r="59" spans="1:8" x14ac:dyDescent="0.45">
      <c r="A59" s="4" t="s">
        <v>503</v>
      </c>
      <c r="B59" s="5" t="s">
        <v>504</v>
      </c>
      <c r="C59" s="5" t="s">
        <v>359</v>
      </c>
      <c r="D59" s="5" t="s">
        <v>359</v>
      </c>
      <c r="E59" s="5">
        <v>58.22</v>
      </c>
      <c r="F59" s="6">
        <v>58</v>
      </c>
      <c r="H59" t="str">
        <f t="shared" si="0"/>
        <v xml:space="preserve">Kamala Nehru </v>
      </c>
    </row>
    <row r="60" spans="1:8" x14ac:dyDescent="0.45">
      <c r="A60" s="7" t="s">
        <v>505</v>
      </c>
      <c r="B60" s="8" t="s">
        <v>506</v>
      </c>
      <c r="C60" s="8" t="s">
        <v>410</v>
      </c>
      <c r="D60" s="8" t="s">
        <v>383</v>
      </c>
      <c r="E60" s="8">
        <v>58.12</v>
      </c>
      <c r="F60" s="9">
        <v>59</v>
      </c>
      <c r="H60" t="str">
        <f t="shared" si="0"/>
        <v xml:space="preserve">The American </v>
      </c>
    </row>
    <row r="61" spans="1:8" x14ac:dyDescent="0.45">
      <c r="A61" s="4" t="s">
        <v>507</v>
      </c>
      <c r="B61" s="5" t="s">
        <v>508</v>
      </c>
      <c r="C61" s="5" t="s">
        <v>390</v>
      </c>
      <c r="D61" s="5" t="s">
        <v>391</v>
      </c>
      <c r="E61" s="5">
        <v>57.84</v>
      </c>
      <c r="F61" s="6">
        <v>60</v>
      </c>
      <c r="H61" t="str">
        <f t="shared" si="0"/>
        <v xml:space="preserve">St. Teresa's </v>
      </c>
    </row>
    <row r="62" spans="1:8" x14ac:dyDescent="0.45">
      <c r="A62" s="7" t="s">
        <v>509</v>
      </c>
      <c r="B62" s="8" t="s">
        <v>510</v>
      </c>
      <c r="C62" s="8" t="s">
        <v>418</v>
      </c>
      <c r="D62" s="8" t="s">
        <v>391</v>
      </c>
      <c r="E62" s="8">
        <v>57.75</v>
      </c>
      <c r="F62" s="9">
        <v>61</v>
      </c>
      <c r="H62" t="str">
        <f t="shared" si="0"/>
        <v>Mar Ivanios C</v>
      </c>
    </row>
    <row r="63" spans="1:8" x14ac:dyDescent="0.45">
      <c r="A63" s="4" t="s">
        <v>511</v>
      </c>
      <c r="B63" s="5" t="s">
        <v>512</v>
      </c>
      <c r="C63" s="5" t="s">
        <v>396</v>
      </c>
      <c r="D63" s="5" t="s">
        <v>383</v>
      </c>
      <c r="E63" s="5">
        <v>57.68</v>
      </c>
      <c r="F63" s="6">
        <v>62</v>
      </c>
      <c r="H63" t="str">
        <f t="shared" si="0"/>
        <v xml:space="preserve">Queen Mary`s </v>
      </c>
    </row>
    <row r="64" spans="1:8" x14ac:dyDescent="0.45">
      <c r="A64" s="7" t="s">
        <v>513</v>
      </c>
      <c r="B64" s="8" t="s">
        <v>514</v>
      </c>
      <c r="C64" s="8" t="s">
        <v>515</v>
      </c>
      <c r="D64" s="8" t="s">
        <v>383</v>
      </c>
      <c r="E64" s="8">
        <v>57.67</v>
      </c>
      <c r="F64" s="9">
        <v>63</v>
      </c>
      <c r="H64" t="str">
        <f t="shared" si="0"/>
        <v>Nesamony Memo</v>
      </c>
    </row>
    <row r="65" spans="1:8" x14ac:dyDescent="0.45">
      <c r="A65" s="4" t="s">
        <v>516</v>
      </c>
      <c r="B65" s="5" t="s">
        <v>517</v>
      </c>
      <c r="C65" s="5" t="s">
        <v>396</v>
      </c>
      <c r="D65" s="5" t="s">
        <v>383</v>
      </c>
      <c r="E65" s="5">
        <v>57.64</v>
      </c>
      <c r="F65" s="6">
        <v>64</v>
      </c>
      <c r="H65" t="str">
        <f t="shared" si="0"/>
        <v>Ethiraj Colle</v>
      </c>
    </row>
    <row r="66" spans="1:8" x14ac:dyDescent="0.45">
      <c r="A66" s="7" t="s">
        <v>518</v>
      </c>
      <c r="B66" s="8" t="s">
        <v>519</v>
      </c>
      <c r="C66" s="8" t="s">
        <v>359</v>
      </c>
      <c r="D66" s="8" t="s">
        <v>359</v>
      </c>
      <c r="E66" s="8">
        <v>57.59</v>
      </c>
      <c r="F66" s="9">
        <v>65</v>
      </c>
      <c r="H66" t="str">
        <f t="shared" si="0"/>
        <v>Shaheed Rajgu</v>
      </c>
    </row>
    <row r="67" spans="1:8" x14ac:dyDescent="0.45">
      <c r="A67" s="4" t="s">
        <v>520</v>
      </c>
      <c r="B67" s="5" t="s">
        <v>521</v>
      </c>
      <c r="C67" s="5" t="s">
        <v>382</v>
      </c>
      <c r="D67" s="5" t="s">
        <v>383</v>
      </c>
      <c r="E67" s="5">
        <v>57.56</v>
      </c>
      <c r="F67" s="6">
        <v>66</v>
      </c>
      <c r="H67" t="str">
        <f t="shared" ref="H67:H101" si="1">LEFT(B67,13)</f>
        <v xml:space="preserve">Dr. N. G. P. </v>
      </c>
    </row>
    <row r="68" spans="1:8" x14ac:dyDescent="0.45">
      <c r="A68" s="7" t="s">
        <v>522</v>
      </c>
      <c r="B68" s="8" t="s">
        <v>523</v>
      </c>
      <c r="C68" s="8" t="s">
        <v>443</v>
      </c>
      <c r="D68" s="8" t="s">
        <v>444</v>
      </c>
      <c r="E68" s="8">
        <v>57.49</v>
      </c>
      <c r="F68" s="9">
        <v>67</v>
      </c>
      <c r="H68" t="str">
        <f t="shared" si="1"/>
        <v>M S Ramaiah C</v>
      </c>
    </row>
    <row r="69" spans="1:8" x14ac:dyDescent="0.45">
      <c r="A69" s="4" t="s">
        <v>524</v>
      </c>
      <c r="B69" s="5" t="s">
        <v>525</v>
      </c>
      <c r="C69" s="5" t="s">
        <v>382</v>
      </c>
      <c r="D69" s="5" t="s">
        <v>383</v>
      </c>
      <c r="E69" s="5">
        <v>57.49</v>
      </c>
      <c r="F69" s="6">
        <v>67</v>
      </c>
      <c r="H69" t="str">
        <f t="shared" si="1"/>
        <v>Government Ar</v>
      </c>
    </row>
    <row r="70" spans="1:8" x14ac:dyDescent="0.45">
      <c r="A70" s="7" t="s">
        <v>526</v>
      </c>
      <c r="B70" s="8" t="s">
        <v>527</v>
      </c>
      <c r="C70" s="8" t="s">
        <v>359</v>
      </c>
      <c r="D70" s="8" t="s">
        <v>359</v>
      </c>
      <c r="E70" s="8">
        <v>57.48</v>
      </c>
      <c r="F70" s="9">
        <v>69</v>
      </c>
      <c r="H70" t="str">
        <f t="shared" si="1"/>
        <v>Shivaji Colle</v>
      </c>
    </row>
    <row r="71" spans="1:8" x14ac:dyDescent="0.45">
      <c r="A71" s="4" t="s">
        <v>528</v>
      </c>
      <c r="B71" s="5" t="s">
        <v>529</v>
      </c>
      <c r="C71" s="5" t="s">
        <v>447</v>
      </c>
      <c r="D71" s="5" t="s">
        <v>447</v>
      </c>
      <c r="E71" s="5">
        <v>57.44</v>
      </c>
      <c r="F71" s="6">
        <v>70</v>
      </c>
      <c r="H71" t="str">
        <f t="shared" si="1"/>
        <v>Goswami Ganes</v>
      </c>
    </row>
    <row r="72" spans="1:8" x14ac:dyDescent="0.45">
      <c r="A72" s="7" t="s">
        <v>530</v>
      </c>
      <c r="B72" s="8" t="s">
        <v>531</v>
      </c>
      <c r="C72" s="8" t="s">
        <v>532</v>
      </c>
      <c r="D72" s="8" t="s">
        <v>383</v>
      </c>
      <c r="E72" s="8">
        <v>57.3</v>
      </c>
      <c r="F72" s="9">
        <v>71</v>
      </c>
      <c r="H72" t="str">
        <f t="shared" si="1"/>
        <v>Government Ar</v>
      </c>
    </row>
    <row r="73" spans="1:8" x14ac:dyDescent="0.45">
      <c r="A73" s="4" t="s">
        <v>533</v>
      </c>
      <c r="B73" s="5" t="s">
        <v>534</v>
      </c>
      <c r="C73" s="5" t="s">
        <v>535</v>
      </c>
      <c r="D73" s="5" t="s">
        <v>383</v>
      </c>
      <c r="E73" s="5">
        <v>57.27</v>
      </c>
      <c r="F73" s="6">
        <v>72</v>
      </c>
      <c r="H73" t="str">
        <f t="shared" si="1"/>
        <v>Ayya Nadar Ja</v>
      </c>
    </row>
    <row r="74" spans="1:8" x14ac:dyDescent="0.45">
      <c r="A74" s="7" t="s">
        <v>536</v>
      </c>
      <c r="B74" s="8" t="s">
        <v>537</v>
      </c>
      <c r="C74" s="8" t="s">
        <v>538</v>
      </c>
      <c r="D74" s="8" t="s">
        <v>444</v>
      </c>
      <c r="E74" s="8">
        <v>57.17</v>
      </c>
      <c r="F74" s="9">
        <v>73</v>
      </c>
      <c r="H74" t="str">
        <f t="shared" si="1"/>
        <v xml:space="preserve">St. Aloysius </v>
      </c>
    </row>
    <row r="75" spans="1:8" x14ac:dyDescent="0.45">
      <c r="A75" s="4" t="s">
        <v>539</v>
      </c>
      <c r="B75" s="5" t="s">
        <v>540</v>
      </c>
      <c r="C75" s="5" t="s">
        <v>541</v>
      </c>
      <c r="D75" s="5" t="s">
        <v>391</v>
      </c>
      <c r="E75" s="5">
        <v>56.89</v>
      </c>
      <c r="F75" s="6">
        <v>74</v>
      </c>
      <c r="H75" t="str">
        <f t="shared" si="1"/>
        <v xml:space="preserve">St. Joseph’s </v>
      </c>
    </row>
    <row r="76" spans="1:8" x14ac:dyDescent="0.45">
      <c r="A76" s="7" t="s">
        <v>542</v>
      </c>
      <c r="B76" s="8" t="s">
        <v>543</v>
      </c>
      <c r="C76" s="8" t="s">
        <v>390</v>
      </c>
      <c r="D76" s="8" t="s">
        <v>391</v>
      </c>
      <c r="E76" s="8">
        <v>56.86</v>
      </c>
      <c r="F76" s="9">
        <v>75</v>
      </c>
      <c r="H76" t="str">
        <f t="shared" si="1"/>
        <v>Maharaja's Co</v>
      </c>
    </row>
    <row r="77" spans="1:8" x14ac:dyDescent="0.45">
      <c r="A77" s="4" t="s">
        <v>544</v>
      </c>
      <c r="B77" s="5" t="s">
        <v>545</v>
      </c>
      <c r="C77" s="5" t="s">
        <v>546</v>
      </c>
      <c r="D77" s="5" t="s">
        <v>383</v>
      </c>
      <c r="E77" s="5">
        <v>56.8</v>
      </c>
      <c r="F77" s="6">
        <v>76</v>
      </c>
      <c r="H77" t="str">
        <f t="shared" si="1"/>
        <v>Alagappa Gove</v>
      </c>
    </row>
    <row r="78" spans="1:8" x14ac:dyDescent="0.45">
      <c r="A78" s="7" t="s">
        <v>547</v>
      </c>
      <c r="B78" s="8" t="s">
        <v>548</v>
      </c>
      <c r="C78" s="8" t="s">
        <v>382</v>
      </c>
      <c r="D78" s="8" t="s">
        <v>383</v>
      </c>
      <c r="E78" s="8">
        <v>56.8</v>
      </c>
      <c r="F78" s="9">
        <v>76</v>
      </c>
      <c r="H78" t="str">
        <f t="shared" si="1"/>
        <v>Sri Ramakrish</v>
      </c>
    </row>
    <row r="79" spans="1:8" x14ac:dyDescent="0.45">
      <c r="A79" s="4" t="s">
        <v>549</v>
      </c>
      <c r="B79" s="5" t="s">
        <v>550</v>
      </c>
      <c r="C79" s="5" t="s">
        <v>493</v>
      </c>
      <c r="D79" s="5" t="s">
        <v>391</v>
      </c>
      <c r="E79" s="5">
        <v>56.59</v>
      </c>
      <c r="F79" s="6">
        <v>78</v>
      </c>
      <c r="H79" t="str">
        <f t="shared" si="1"/>
        <v>Vimala Colleg</v>
      </c>
    </row>
    <row r="80" spans="1:8" x14ac:dyDescent="0.45">
      <c r="A80" s="7" t="s">
        <v>551</v>
      </c>
      <c r="B80" s="8" t="s">
        <v>552</v>
      </c>
      <c r="C80" s="8" t="s">
        <v>553</v>
      </c>
      <c r="D80" s="8" t="s">
        <v>383</v>
      </c>
      <c r="E80" s="8">
        <v>56.57</v>
      </c>
      <c r="F80" s="9">
        <v>79</v>
      </c>
      <c r="H80" t="str">
        <f t="shared" si="1"/>
        <v>Rajah Serfoji</v>
      </c>
    </row>
    <row r="81" spans="1:8" x14ac:dyDescent="0.45">
      <c r="A81" s="4" t="s">
        <v>554</v>
      </c>
      <c r="B81" s="5" t="s">
        <v>555</v>
      </c>
      <c r="C81" s="5" t="s">
        <v>556</v>
      </c>
      <c r="D81" s="5" t="s">
        <v>383</v>
      </c>
      <c r="E81" s="5">
        <v>56.54</v>
      </c>
      <c r="F81" s="6">
        <v>80</v>
      </c>
      <c r="H81" t="str">
        <f t="shared" si="1"/>
        <v xml:space="preserve">Sacred Heart </v>
      </c>
    </row>
    <row r="82" spans="1:8" x14ac:dyDescent="0.45">
      <c r="A82" s="7" t="s">
        <v>557</v>
      </c>
      <c r="B82" s="8" t="s">
        <v>558</v>
      </c>
      <c r="C82" s="8" t="s">
        <v>559</v>
      </c>
      <c r="D82" s="8" t="s">
        <v>383</v>
      </c>
      <c r="E82" s="8">
        <v>56.47</v>
      </c>
      <c r="F82" s="9">
        <v>81</v>
      </c>
      <c r="H82" t="str">
        <f t="shared" si="1"/>
        <v>Sri Sarada Co</v>
      </c>
    </row>
    <row r="83" spans="1:8" x14ac:dyDescent="0.45">
      <c r="A83" s="4" t="s">
        <v>560</v>
      </c>
      <c r="B83" s="5" t="s">
        <v>561</v>
      </c>
      <c r="C83" s="5" t="s">
        <v>541</v>
      </c>
      <c r="D83" s="5" t="s">
        <v>391</v>
      </c>
      <c r="E83" s="5">
        <v>55.83</v>
      </c>
      <c r="F83" s="6">
        <v>82</v>
      </c>
      <c r="H83" t="str">
        <f t="shared" si="1"/>
        <v>Farook Colleg</v>
      </c>
    </row>
    <row r="84" spans="1:8" x14ac:dyDescent="0.45">
      <c r="A84" s="7" t="s">
        <v>562</v>
      </c>
      <c r="B84" s="8" t="s">
        <v>563</v>
      </c>
      <c r="C84" s="8" t="s">
        <v>493</v>
      </c>
      <c r="D84" s="8" t="s">
        <v>391</v>
      </c>
      <c r="E84" s="8">
        <v>55.81</v>
      </c>
      <c r="F84" s="9">
        <v>83</v>
      </c>
      <c r="H84" t="str">
        <f t="shared" si="1"/>
        <v xml:space="preserve">St. Joseph's </v>
      </c>
    </row>
    <row r="85" spans="1:8" x14ac:dyDescent="0.45">
      <c r="A85" s="4" t="s">
        <v>564</v>
      </c>
      <c r="B85" s="5" t="s">
        <v>565</v>
      </c>
      <c r="C85" s="5" t="s">
        <v>423</v>
      </c>
      <c r="D85" s="5" t="s">
        <v>383</v>
      </c>
      <c r="E85" s="5">
        <v>55.67</v>
      </c>
      <c r="F85" s="6">
        <v>84</v>
      </c>
      <c r="H85" t="str">
        <f t="shared" si="1"/>
        <v>Jamal Mohamed</v>
      </c>
    </row>
    <row r="86" spans="1:8" x14ac:dyDescent="0.45">
      <c r="A86" s="7" t="s">
        <v>566</v>
      </c>
      <c r="B86" s="8" t="s">
        <v>567</v>
      </c>
      <c r="C86" s="8" t="s">
        <v>377</v>
      </c>
      <c r="D86" s="8" t="s">
        <v>359</v>
      </c>
      <c r="E86" s="8">
        <v>55.66</v>
      </c>
      <c r="F86" s="9">
        <v>85</v>
      </c>
      <c r="H86" t="str">
        <f t="shared" si="1"/>
        <v xml:space="preserve">Jesus &amp; Mary </v>
      </c>
    </row>
    <row r="87" spans="1:8" x14ac:dyDescent="0.45">
      <c r="A87" s="4" t="s">
        <v>568</v>
      </c>
      <c r="B87" s="5" t="s">
        <v>569</v>
      </c>
      <c r="C87" s="5" t="s">
        <v>500</v>
      </c>
      <c r="D87" s="5" t="s">
        <v>391</v>
      </c>
      <c r="E87" s="5">
        <v>55.58</v>
      </c>
      <c r="F87" s="6">
        <v>86</v>
      </c>
      <c r="H87" t="str">
        <f t="shared" si="1"/>
        <v>CMS College K</v>
      </c>
    </row>
    <row r="88" spans="1:8" x14ac:dyDescent="0.45">
      <c r="A88" s="7" t="s">
        <v>570</v>
      </c>
      <c r="B88" s="8" t="s">
        <v>571</v>
      </c>
      <c r="C88" s="8" t="s">
        <v>493</v>
      </c>
      <c r="D88" s="8" t="s">
        <v>391</v>
      </c>
      <c r="E88" s="8">
        <v>55.51</v>
      </c>
      <c r="F88" s="9">
        <v>87</v>
      </c>
      <c r="H88" t="str">
        <f t="shared" si="1"/>
        <v>Christ Colleg</v>
      </c>
    </row>
    <row r="89" spans="1:8" x14ac:dyDescent="0.45">
      <c r="A89" s="4" t="s">
        <v>572</v>
      </c>
      <c r="B89" s="5" t="s">
        <v>573</v>
      </c>
      <c r="C89" s="5" t="s">
        <v>574</v>
      </c>
      <c r="D89" s="5" t="s">
        <v>383</v>
      </c>
      <c r="E89" s="5">
        <v>55.44</v>
      </c>
      <c r="F89" s="6">
        <v>88</v>
      </c>
      <c r="H89" t="str">
        <f t="shared" si="1"/>
        <v>A.P.C. Mahala</v>
      </c>
    </row>
    <row r="90" spans="1:8" x14ac:dyDescent="0.45">
      <c r="A90" s="7" t="s">
        <v>575</v>
      </c>
      <c r="B90" s="8" t="s">
        <v>576</v>
      </c>
      <c r="C90" s="8" t="s">
        <v>40</v>
      </c>
      <c r="D90" s="8" t="s">
        <v>37</v>
      </c>
      <c r="E90" s="8">
        <v>55.16</v>
      </c>
      <c r="F90" s="9">
        <v>89</v>
      </c>
      <c r="H90" t="str">
        <f t="shared" si="1"/>
        <v xml:space="preserve">St. Xavier`s </v>
      </c>
    </row>
    <row r="91" spans="1:8" x14ac:dyDescent="0.45">
      <c r="A91" s="4" t="s">
        <v>577</v>
      </c>
      <c r="B91" s="5" t="s">
        <v>578</v>
      </c>
      <c r="C91" s="5" t="s">
        <v>377</v>
      </c>
      <c r="D91" s="5" t="s">
        <v>359</v>
      </c>
      <c r="E91" s="5">
        <v>55.1</v>
      </c>
      <c r="F91" s="6">
        <v>90</v>
      </c>
      <c r="H91" t="str">
        <f t="shared" si="1"/>
        <v>Ram Lal Anand</v>
      </c>
    </row>
    <row r="92" spans="1:8" x14ac:dyDescent="0.45">
      <c r="A92" s="7" t="s">
        <v>579</v>
      </c>
      <c r="B92" s="8" t="s">
        <v>580</v>
      </c>
      <c r="C92" s="8" t="s">
        <v>396</v>
      </c>
      <c r="D92" s="8" t="s">
        <v>383</v>
      </c>
      <c r="E92" s="8">
        <v>55.03</v>
      </c>
      <c r="F92" s="9">
        <v>91</v>
      </c>
      <c r="H92" t="str">
        <f t="shared" si="1"/>
        <v>DG Vaishnav C</v>
      </c>
    </row>
    <row r="93" spans="1:8" x14ac:dyDescent="0.45">
      <c r="A93" s="4" t="s">
        <v>581</v>
      </c>
      <c r="B93" s="5" t="s">
        <v>582</v>
      </c>
      <c r="C93" s="5" t="s">
        <v>583</v>
      </c>
      <c r="D93" s="5" t="s">
        <v>391</v>
      </c>
      <c r="E93" s="5">
        <v>54.97</v>
      </c>
      <c r="F93" s="6">
        <v>92</v>
      </c>
      <c r="H93" t="str">
        <f t="shared" si="1"/>
        <v>Mar Athanasiu</v>
      </c>
    </row>
    <row r="94" spans="1:8" x14ac:dyDescent="0.45">
      <c r="A94" s="7" t="s">
        <v>584</v>
      </c>
      <c r="B94" s="8" t="s">
        <v>585</v>
      </c>
      <c r="C94" s="8" t="s">
        <v>586</v>
      </c>
      <c r="D94" s="8" t="s">
        <v>37</v>
      </c>
      <c r="E94" s="8">
        <v>54.76</v>
      </c>
      <c r="F94" s="9">
        <v>93</v>
      </c>
      <c r="H94" t="str">
        <f t="shared" si="1"/>
        <v xml:space="preserve">Shri Shivaji </v>
      </c>
    </row>
    <row r="95" spans="1:8" x14ac:dyDescent="0.45">
      <c r="A95" s="4" t="s">
        <v>587</v>
      </c>
      <c r="B95" s="5" t="s">
        <v>588</v>
      </c>
      <c r="C95" s="5" t="s">
        <v>382</v>
      </c>
      <c r="D95" s="5" t="s">
        <v>383</v>
      </c>
      <c r="E95" s="5">
        <v>54.66</v>
      </c>
      <c r="F95" s="6">
        <v>94</v>
      </c>
      <c r="H95" t="str">
        <f t="shared" si="1"/>
        <v>Sri Ramakrish</v>
      </c>
    </row>
    <row r="96" spans="1:8" x14ac:dyDescent="0.45">
      <c r="A96" s="7" t="s">
        <v>589</v>
      </c>
      <c r="B96" s="8" t="s">
        <v>590</v>
      </c>
      <c r="C96" s="8" t="s">
        <v>359</v>
      </c>
      <c r="D96" s="8" t="s">
        <v>359</v>
      </c>
      <c r="E96" s="8">
        <v>54.61</v>
      </c>
      <c r="F96" s="9">
        <v>95</v>
      </c>
      <c r="H96" t="str">
        <f t="shared" si="1"/>
        <v>Keshav Mahavi</v>
      </c>
    </row>
    <row r="97" spans="1:8" x14ac:dyDescent="0.45">
      <c r="A97" s="4" t="s">
        <v>591</v>
      </c>
      <c r="B97" s="5" t="s">
        <v>592</v>
      </c>
      <c r="C97" s="5" t="s">
        <v>390</v>
      </c>
      <c r="D97" s="5" t="s">
        <v>391</v>
      </c>
      <c r="E97" s="5">
        <v>54.55</v>
      </c>
      <c r="F97" s="6">
        <v>96</v>
      </c>
      <c r="H97" t="str">
        <f t="shared" si="1"/>
        <v>Union Christi</v>
      </c>
    </row>
    <row r="98" spans="1:8" x14ac:dyDescent="0.45">
      <c r="A98" s="7" t="s">
        <v>593</v>
      </c>
      <c r="B98" s="8" t="s">
        <v>594</v>
      </c>
      <c r="C98" s="8" t="s">
        <v>377</v>
      </c>
      <c r="D98" s="8" t="s">
        <v>359</v>
      </c>
      <c r="E98" s="8">
        <v>54.52</v>
      </c>
      <c r="F98" s="9">
        <v>97</v>
      </c>
      <c r="H98" t="str">
        <f t="shared" si="1"/>
        <v>PGDAV College</v>
      </c>
    </row>
    <row r="99" spans="1:8" x14ac:dyDescent="0.45">
      <c r="A99" s="4" t="s">
        <v>595</v>
      </c>
      <c r="B99" s="5" t="s">
        <v>596</v>
      </c>
      <c r="C99" s="5" t="s">
        <v>443</v>
      </c>
      <c r="D99" s="5" t="s">
        <v>444</v>
      </c>
      <c r="E99" s="5">
        <v>54.47</v>
      </c>
      <c r="F99" s="6">
        <v>98</v>
      </c>
      <c r="H99" t="str">
        <f t="shared" si="1"/>
        <v xml:space="preserve">St. Joseph`s </v>
      </c>
    </row>
    <row r="100" spans="1:8" x14ac:dyDescent="0.45">
      <c r="A100" s="7" t="s">
        <v>597</v>
      </c>
      <c r="B100" s="8" t="s">
        <v>598</v>
      </c>
      <c r="C100" s="8" t="s">
        <v>418</v>
      </c>
      <c r="D100" s="8" t="s">
        <v>391</v>
      </c>
      <c r="E100" s="8">
        <v>54.42</v>
      </c>
      <c r="F100" s="9">
        <v>99</v>
      </c>
      <c r="H100" t="str">
        <f t="shared" si="1"/>
        <v>Government Co</v>
      </c>
    </row>
    <row r="101" spans="1:8" x14ac:dyDescent="0.45">
      <c r="A101" s="13" t="s">
        <v>599</v>
      </c>
      <c r="B101" s="14" t="s">
        <v>600</v>
      </c>
      <c r="C101" s="14" t="s">
        <v>410</v>
      </c>
      <c r="D101" s="14" t="s">
        <v>383</v>
      </c>
      <c r="E101" s="14">
        <v>54.39</v>
      </c>
      <c r="F101" s="15">
        <v>100</v>
      </c>
      <c r="H101" t="str">
        <f t="shared" si="1"/>
        <v>Fatima Colleg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486C-799C-4C6B-9AE3-1BE62CB8C787}">
  <dimension ref="A1"/>
  <sheetViews>
    <sheetView workbookViewId="0">
      <selection activeCell="D22" sqref="D22"/>
    </sheetView>
  </sheetViews>
  <sheetFormatPr defaultRowHeight="14.25" x14ac:dyDescent="0.45"/>
  <cols>
    <col min="1" max="1" width="96.46484375" bestFit="1" customWidth="1"/>
    <col min="2" max="2" width="9.19921875" bestFit="1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4F0D-526B-4C35-AFBB-FEB860403D0F}">
  <dimension ref="A1:B57"/>
  <sheetViews>
    <sheetView topLeftCell="A2" workbookViewId="0">
      <selection activeCell="D19" sqref="D19"/>
    </sheetView>
  </sheetViews>
  <sheetFormatPr defaultRowHeight="14.25" x14ac:dyDescent="0.45"/>
  <cols>
    <col min="1" max="1" width="96.46484375" bestFit="1" customWidth="1"/>
    <col min="2" max="2" width="12.796875" bestFit="1" customWidth="1"/>
  </cols>
  <sheetData>
    <row r="1" spans="1:2" x14ac:dyDescent="0.45">
      <c r="A1" s="16" t="s">
        <v>358</v>
      </c>
      <c r="B1" t="s">
        <v>604</v>
      </c>
    </row>
    <row r="3" spans="1:2" x14ac:dyDescent="0.45">
      <c r="A3" s="16" t="s">
        <v>2</v>
      </c>
      <c r="B3" t="s">
        <v>603</v>
      </c>
    </row>
    <row r="4" spans="1:2" x14ac:dyDescent="0.45">
      <c r="A4" s="17" t="s">
        <v>447</v>
      </c>
      <c r="B4">
        <v>2</v>
      </c>
    </row>
    <row r="5" spans="1:2" x14ac:dyDescent="0.45">
      <c r="A5" s="17" t="s">
        <v>359</v>
      </c>
      <c r="B5">
        <v>31</v>
      </c>
    </row>
    <row r="6" spans="1:2" x14ac:dyDescent="0.45">
      <c r="A6" s="17" t="s">
        <v>444</v>
      </c>
      <c r="B6">
        <v>4</v>
      </c>
    </row>
    <row r="7" spans="1:2" x14ac:dyDescent="0.45">
      <c r="A7" s="17" t="s">
        <v>391</v>
      </c>
      <c r="B7">
        <v>18</v>
      </c>
    </row>
    <row r="8" spans="1:2" x14ac:dyDescent="0.45">
      <c r="A8" s="17" t="s">
        <v>37</v>
      </c>
      <c r="B8">
        <v>3</v>
      </c>
    </row>
    <row r="9" spans="1:2" x14ac:dyDescent="0.45">
      <c r="A9" s="17" t="s">
        <v>482</v>
      </c>
      <c r="B9">
        <v>1</v>
      </c>
    </row>
    <row r="10" spans="1:2" x14ac:dyDescent="0.45">
      <c r="A10" s="17" t="s">
        <v>488</v>
      </c>
      <c r="B10">
        <v>1</v>
      </c>
    </row>
    <row r="11" spans="1:2" x14ac:dyDescent="0.45">
      <c r="A11" s="17" t="s">
        <v>383</v>
      </c>
      <c r="B11">
        <v>33</v>
      </c>
    </row>
    <row r="12" spans="1:2" x14ac:dyDescent="0.45">
      <c r="A12" s="17" t="s">
        <v>374</v>
      </c>
      <c r="B12">
        <v>6</v>
      </c>
    </row>
    <row r="13" spans="1:2" x14ac:dyDescent="0.45">
      <c r="A13" s="17" t="s">
        <v>602</v>
      </c>
      <c r="B13">
        <v>99</v>
      </c>
    </row>
    <row r="18" spans="1:2" x14ac:dyDescent="0.45">
      <c r="A18" s="16" t="s">
        <v>358</v>
      </c>
      <c r="B18" t="s">
        <v>604</v>
      </c>
    </row>
    <row r="20" spans="1:2" x14ac:dyDescent="0.45">
      <c r="A20" s="16" t="s">
        <v>601</v>
      </c>
      <c r="B20" t="s">
        <v>605</v>
      </c>
    </row>
    <row r="21" spans="1:2" x14ac:dyDescent="0.45">
      <c r="A21" s="17" t="s">
        <v>481</v>
      </c>
      <c r="B21">
        <v>1</v>
      </c>
    </row>
    <row r="22" spans="1:2" x14ac:dyDescent="0.45">
      <c r="A22" s="17" t="s">
        <v>586</v>
      </c>
      <c r="B22">
        <v>1</v>
      </c>
    </row>
    <row r="23" spans="1:2" x14ac:dyDescent="0.45">
      <c r="A23" s="17" t="s">
        <v>443</v>
      </c>
      <c r="B23">
        <v>3</v>
      </c>
    </row>
    <row r="24" spans="1:2" x14ac:dyDescent="0.45">
      <c r="A24" s="17" t="s">
        <v>447</v>
      </c>
      <c r="B24">
        <v>2</v>
      </c>
    </row>
    <row r="25" spans="1:2" x14ac:dyDescent="0.45">
      <c r="A25" s="17" t="s">
        <v>396</v>
      </c>
      <c r="B25">
        <v>8</v>
      </c>
    </row>
    <row r="26" spans="1:2" x14ac:dyDescent="0.45">
      <c r="A26" s="17" t="s">
        <v>382</v>
      </c>
      <c r="B26">
        <v>7</v>
      </c>
    </row>
    <row r="27" spans="1:2" x14ac:dyDescent="0.45">
      <c r="A27" s="17" t="s">
        <v>359</v>
      </c>
      <c r="B27">
        <v>17</v>
      </c>
    </row>
    <row r="28" spans="1:2" x14ac:dyDescent="0.45">
      <c r="A28" s="17" t="s">
        <v>390</v>
      </c>
      <c r="B28">
        <v>4</v>
      </c>
    </row>
    <row r="29" spans="1:2" x14ac:dyDescent="0.45">
      <c r="A29" s="17" t="s">
        <v>407</v>
      </c>
      <c r="B29">
        <v>1</v>
      </c>
    </row>
    <row r="30" spans="1:2" x14ac:dyDescent="0.45">
      <c r="A30" s="17" t="s">
        <v>546</v>
      </c>
      <c r="B30">
        <v>1</v>
      </c>
    </row>
    <row r="31" spans="1:2" x14ac:dyDescent="0.45">
      <c r="A31" s="17" t="s">
        <v>468</v>
      </c>
      <c r="B31">
        <v>1</v>
      </c>
    </row>
    <row r="32" spans="1:2" x14ac:dyDescent="0.45">
      <c r="A32" s="17" t="s">
        <v>373</v>
      </c>
      <c r="B32">
        <v>4</v>
      </c>
    </row>
    <row r="33" spans="1:2" x14ac:dyDescent="0.45">
      <c r="A33" s="17" t="s">
        <v>583</v>
      </c>
      <c r="B33">
        <v>1</v>
      </c>
    </row>
    <row r="34" spans="1:2" x14ac:dyDescent="0.45">
      <c r="A34" s="17" t="s">
        <v>500</v>
      </c>
      <c r="B34">
        <v>2</v>
      </c>
    </row>
    <row r="35" spans="1:2" x14ac:dyDescent="0.45">
      <c r="A35" s="17" t="s">
        <v>541</v>
      </c>
      <c r="B35">
        <v>2</v>
      </c>
    </row>
    <row r="36" spans="1:2" x14ac:dyDescent="0.45">
      <c r="A36" s="17" t="s">
        <v>532</v>
      </c>
      <c r="B36">
        <v>1</v>
      </c>
    </row>
    <row r="37" spans="1:2" x14ac:dyDescent="0.45">
      <c r="A37" s="17" t="s">
        <v>410</v>
      </c>
      <c r="B37">
        <v>3</v>
      </c>
    </row>
    <row r="38" spans="1:2" x14ac:dyDescent="0.45">
      <c r="A38" s="17" t="s">
        <v>538</v>
      </c>
      <c r="B38">
        <v>1</v>
      </c>
    </row>
    <row r="39" spans="1:2" x14ac:dyDescent="0.45">
      <c r="A39" s="17" t="s">
        <v>515</v>
      </c>
      <c r="B39">
        <v>1</v>
      </c>
    </row>
    <row r="40" spans="1:2" x14ac:dyDescent="0.45">
      <c r="A40" s="17" t="s">
        <v>463</v>
      </c>
      <c r="B40">
        <v>1</v>
      </c>
    </row>
    <row r="41" spans="1:2" x14ac:dyDescent="0.45">
      <c r="A41" s="17" t="s">
        <v>40</v>
      </c>
      <c r="B41">
        <v>1</v>
      </c>
    </row>
    <row r="42" spans="1:2" x14ac:dyDescent="0.45">
      <c r="A42" s="17" t="s">
        <v>377</v>
      </c>
      <c r="B42">
        <v>13</v>
      </c>
    </row>
    <row r="43" spans="1:2" x14ac:dyDescent="0.45">
      <c r="A43" s="17" t="s">
        <v>478</v>
      </c>
      <c r="B43">
        <v>1</v>
      </c>
    </row>
    <row r="44" spans="1:2" x14ac:dyDescent="0.45">
      <c r="A44" s="17" t="s">
        <v>458</v>
      </c>
      <c r="B44">
        <v>1</v>
      </c>
    </row>
    <row r="45" spans="1:2" x14ac:dyDescent="0.45">
      <c r="A45" s="17" t="s">
        <v>487</v>
      </c>
      <c r="B45">
        <v>1</v>
      </c>
    </row>
    <row r="46" spans="1:2" x14ac:dyDescent="0.45">
      <c r="A46" s="17" t="s">
        <v>36</v>
      </c>
      <c r="B46">
        <v>1</v>
      </c>
    </row>
    <row r="47" spans="1:2" x14ac:dyDescent="0.45">
      <c r="A47" s="17" t="s">
        <v>559</v>
      </c>
      <c r="B47">
        <v>1</v>
      </c>
    </row>
    <row r="48" spans="1:2" x14ac:dyDescent="0.45">
      <c r="A48" s="17" t="s">
        <v>535</v>
      </c>
      <c r="B48">
        <v>1</v>
      </c>
    </row>
    <row r="49" spans="1:2" x14ac:dyDescent="0.45">
      <c r="A49" s="17" t="s">
        <v>434</v>
      </c>
      <c r="B49">
        <v>1</v>
      </c>
    </row>
    <row r="50" spans="1:2" x14ac:dyDescent="0.45">
      <c r="A50" s="17" t="s">
        <v>553</v>
      </c>
      <c r="B50">
        <v>1</v>
      </c>
    </row>
    <row r="51" spans="1:2" x14ac:dyDescent="0.45">
      <c r="A51" s="17" t="s">
        <v>418</v>
      </c>
      <c r="B51">
        <v>4</v>
      </c>
    </row>
    <row r="52" spans="1:2" x14ac:dyDescent="0.45">
      <c r="A52" s="17" t="s">
        <v>574</v>
      </c>
      <c r="B52">
        <v>1</v>
      </c>
    </row>
    <row r="53" spans="1:2" x14ac:dyDescent="0.45">
      <c r="A53" s="17" t="s">
        <v>415</v>
      </c>
      <c r="B53">
        <v>1</v>
      </c>
    </row>
    <row r="54" spans="1:2" x14ac:dyDescent="0.45">
      <c r="A54" s="17" t="s">
        <v>493</v>
      </c>
      <c r="B54">
        <v>4</v>
      </c>
    </row>
    <row r="55" spans="1:2" x14ac:dyDescent="0.45">
      <c r="A55" s="17" t="s">
        <v>423</v>
      </c>
      <c r="B55">
        <v>4</v>
      </c>
    </row>
    <row r="56" spans="1:2" x14ac:dyDescent="0.45">
      <c r="A56" s="17" t="s">
        <v>556</v>
      </c>
      <c r="B56">
        <v>1</v>
      </c>
    </row>
    <row r="57" spans="1:2" x14ac:dyDescent="0.45">
      <c r="A57" s="17" t="s">
        <v>602</v>
      </c>
      <c r="B57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3B3245-10B8-4BFD-9F02-AFE76A7D33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customercsv</vt:lpstr>
      <vt:lpstr>Table 1</vt:lpstr>
      <vt:lpstr>Table 1 (2)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 MODI</dc:creator>
  <cp:lastModifiedBy>MARGI MODI</cp:lastModifiedBy>
  <dcterms:created xsi:type="dcterms:W3CDTF">2026-08-03T06:53:58Z</dcterms:created>
  <dcterms:modified xsi:type="dcterms:W3CDTF">2026-08-04T07:09:46Z</dcterms:modified>
</cp:coreProperties>
</file>